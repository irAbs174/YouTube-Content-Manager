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ouTube Main 📌" sheetId="1" r:id="rId5"/>
    <sheet state="visible" name="Contents 🖊️" sheetId="2" r:id="rId6"/>
    <sheet state="visible" name="Episodes ⏭️" sheetId="3" r:id="rId7"/>
    <sheet state="visible" name="Scenses 🎬" sheetId="4" r:id="rId8"/>
    <sheet state="visible" name="Languages 🌍" sheetId="5" r:id="rId9"/>
    <sheet state="visible" name="Assets👁️👁️" sheetId="6" r:id="rId10"/>
    <sheet state="visible" name="Subtitles 🔍" sheetId="7" r:id="rId11"/>
    <sheet state="visible" name="Collections 📃" sheetId="8" r:id="rId12"/>
    <sheet state="hidden" name="Body Content" sheetId="9" r:id="rId13"/>
  </sheets>
  <definedNames/>
  <calcPr/>
</workbook>
</file>

<file path=xl/sharedStrings.xml><?xml version="1.0" encoding="utf-8"?>
<sst xmlns="http://schemas.openxmlformats.org/spreadsheetml/2006/main" count="962" uniqueCount="577">
  <si>
    <t>Episode</t>
  </si>
  <si>
    <t>Episode number</t>
  </si>
  <si>
    <t>Data</t>
  </si>
  <si>
    <t>ROW</t>
  </si>
  <si>
    <t>Senario Lookup</t>
  </si>
  <si>
    <t>Title</t>
  </si>
  <si>
    <t>Status</t>
  </si>
  <si>
    <t>Collection</t>
  </si>
  <si>
    <t>ID</t>
  </si>
  <si>
    <t>Sound Effects</t>
  </si>
  <si>
    <t>Music</t>
  </si>
  <si>
    <t>Subtitles</t>
  </si>
  <si>
    <t>Tumbnaill</t>
  </si>
  <si>
    <t>NETCAT Mastery — From Zero to Security Researcher #6</t>
  </si>
  <si>
    <t>Shared Link</t>
  </si>
  <si>
    <t>Language</t>
  </si>
  <si>
    <t>SCN Count</t>
  </si>
  <si>
    <t>DEMO</t>
  </si>
  <si>
    <t>Description</t>
  </si>
  <si>
    <t>Master Nmap</t>
  </si>
  <si>
    <t>Tags</t>
  </si>
  <si>
    <t>SCN Number</t>
  </si>
  <si>
    <t>Public</t>
  </si>
  <si>
    <t>Scense Title</t>
  </si>
  <si>
    <t>SCN Hook</t>
  </si>
  <si>
    <t>SCN Senario</t>
  </si>
  <si>
    <t>SCN Body</t>
  </si>
  <si>
    <t>https://youtube.com/shorts/Wr0LckTDOgk?feature=share</t>
  </si>
  <si>
    <t>Related Video</t>
  </si>
  <si>
    <t>Pinned Comment</t>
  </si>
  <si>
    <t>NETCAT Mastery — From Zero to Security Researcher #19</t>
  </si>
  <si>
    <t>Showing Content Hook</t>
  </si>
  <si>
    <t>Send A Raw UDP Datagrams To A Target Host</t>
  </si>
  <si>
    <t>Hook On Top, YouTube Logo &amp; Scense Body Bellow Each Other</t>
  </si>
  <si>
    <t>Master Nmap Recon: Zero to Security Researcher #DEMO</t>
  </si>
  <si>
    <t>Netcat Mastery Episode 18, Https://YouTube.com/@Unique_Sources</t>
  </si>
  <si>
    <t>English</t>
  </si>
  <si>
    <t>Master Nmap Recon | Collection DEMO</t>
  </si>
  <si>
    <t>Master Nmap Recon | Collection DEMO ⚡
DEMO of new Shorts series | one nmap switch per episode.
Step by step until becoming a SECURITY researcher.
Practice targets:
LOCAL HOST(127.0.0.1)
What you'll see in this teaser:
1. terminal: Kali-style recon vibe
2. Full aggressive scan typed at human pace: 
    nmap -sS -sV -O -A -T4 --script=vuln 192.168.1.1
3. Realistic output: open ports, service versions, OS guess and NSE vuln hits
AND WILL COVER IN THIS SERIES:
Timing | Output | UDP | NSE | Exclude
Note:
This content is DEMO for new collection and NEXT Episode is the FIRST episode
NEXT Episode:
Episode 1: Host Discovery (-sn)
Turn on notifications so you don't MISS new episodes!
@Unique_Sources
#Nmap #CyberSecurity #KaliLinux #PenetrationTesting #EthicalHacking #InfoSec
#NetworkScanning #YouTubeShorts #ComingSoon #SecurityResearcher #Hacking
#Recon #PortScan #Linux #TechEducation #LearnHacking #NmapTutorial</t>
  </si>
  <si>
    <t>https://youtube.com/shorts/AHJc3pj2LVE?feature=share</t>
  </si>
  <si>
    <t>NETCAT Mastery — From Zero to Security Researcher #8</t>
  </si>
  <si>
    <t>Execute Command On Terminal</t>
  </si>
  <si>
    <t>Kali Terminal Shell</t>
  </si>
  <si>
    <t>Open a terminal and show users how can send a raw UDP Datagrams To a target host</t>
  </si>
  <si>
    <t>None</t>
  </si>
  <si>
    <t>https://youtube.com/shorts/CwWa9-SD-48?feature=share</t>
  </si>
  <si>
    <t>Show Fast Tip</t>
  </si>
  <si>
    <t>Fast And Technical(TIP)</t>
  </si>
  <si>
    <t>Open a tip about this episode</t>
  </si>
  <si>
    <t>Fast &amp; Techninal Tip \n UDP SEND \n nc -u &lt;HOST&gt; &lt;PORT&gt; \n -u Switch case will sends UDP DIAGRAM to a peer</t>
  </si>
  <si>
    <t>Master Nmap Recon: Zero to Security Researcher #0</t>
  </si>
  <si>
    <t>Start PENETRATION test | learning basics LINUX commands #00</t>
  </si>
  <si>
    <t>Learn the 56 essential Linux commands you should master before running your first Nmap scan. 
Whether you're getting started with network security, ethical hacking, or Linux system administration, these foundational terminal commands will help you navigate, manage, and analyze your environment with confidence.
📌 Series: Master Nmap Recon 
🔔 Subscribe for more quick networking and terminal tutorials!
#Linux #Nmap #Cybersecurity #Networking #Terminal #SysAdmin #Shorts</t>
  </si>
  <si>
    <t>Next Episode(SEASON 1 LAST EPISODE): Fast reView 1-20</t>
  </si>
  <si>
    <t>https://youtube.com/shorts/jnbl6Kq9YNI?feature=share</t>
  </si>
  <si>
    <t>Fast Revisit All 1-20 netcat flags</t>
  </si>
  <si>
    <t>Show Next Comming Episode</t>
  </si>
  <si>
    <t>Fast reView All 1-20 Flags -h -l -v -n -w -u -z -k -p -6 -N.</t>
  </si>
  <si>
    <t>Logic in Motion #13</t>
  </si>
  <si>
    <t>Master Nmap Recon: Zero to Security Researcher#29</t>
  </si>
  <si>
    <t>Find Vulnerabillty In Real World Like A Hackers | Nmap NSE Default Script #29</t>
  </si>
  <si>
    <t>You want to scan and find a VULNERABILLTY to Exp;oit them?</t>
  </si>
  <si>
    <t>Showing NMAP Logo Top OF SCREEN &amp; Collection Name wih YouTube logo</t>
  </si>
  <si>
    <r>
      <rPr/>
      <t xml:space="preserve">Master Nmap Episode 29, </t>
    </r>
    <r>
      <rPr>
        <color rgb="FF1155CC"/>
        <u/>
      </rPr>
      <t>HTTPS://YouTube.com/</t>
    </r>
    <r>
      <rPr/>
      <t>Unique Sources</t>
    </r>
  </si>
  <si>
    <t>https://youtube.com/shorts/dxAxpfX1gp0?feature=share</t>
  </si>
  <si>
    <t>Master Nmap Recon: Zero to Security Researcher#1</t>
  </si>
  <si>
    <t>First Nmap Command You Should Run | Check Version #01</t>
  </si>
  <si>
    <t>Before you scan a single host check nmap version.
Command:
nmap --version
That one line answers:
1. Is nmap installed?
2. Which version am I running?
3. Am I ready to start the lab?
Habit: always confirm the tool exists before scanning.
Next episode: Your First Nmap Scan → nmap localhost
Practice: localhost(127.0.0.1)
⚠️ Lab ethics: only scan targets you own or have explicit permission to test.
Collection:
Master Nmap Recon: one nmap lesson per Short
@Unique_Sources
#Nmap #CyberSecurity #KaliLinux #EthicalHacking #InfoSec #Linux #Terminal
#PenetrationTesting #Recon #YouTubeShorts #SecurityResearcher #NmapTutorial
#CommandLine #LearnHacking</t>
  </si>
  <si>
    <t>Master Nmap #DEMO</t>
  </si>
  <si>
    <t>https://youtube.com/shorts/bQ0B-3QwNak?feature=share</t>
  </si>
  <si>
    <t>COUNT</t>
  </si>
  <si>
    <t>Master Nmap Recon: Zero to Security Researcher#2</t>
  </si>
  <si>
    <t>Your First Nmap Scan Should Be localhost Not a Random #02</t>
  </si>
  <si>
    <t>When learning network scanning with Nmap NEVER scan random IP addresses or unauthorized networks.
Always practice on localhost (127.0.0.1) or your own local test environment first!
Command:
nmap localhost
Result:
This scan will scan you machine local network.
Next Episode:
can One IP Address on Purpose
🔔 Subscribe
@Unique_Sources
#Nmap #CyberSecurity #Networking #EthicalHacking #TechShorts #LearnToCode</t>
  </si>
  <si>
    <t>https://youtube.com/shorts/fO8g28j7oEM?feature=share</t>
  </si>
  <si>
    <t>Logic in Motion #14</t>
  </si>
  <si>
    <t>Private</t>
  </si>
  <si>
    <t>https://youtube.com/shorts/g3MrP-UlaWM?feature=share</t>
  </si>
  <si>
    <t>Master Nmap Recon: Zero to Security Researcher#3</t>
  </si>
  <si>
    <t>nmap 127.0.0.1 — Scan One IP Address on Purpose  | Ep.03</t>
  </si>
  <si>
    <t>Command: nmap 127.0.0.1
Why this matters:
• One IP = one host in scope
• No ambiguity about which address you're scanning
• Same default TCP scan — focused target syntax
Next: Scan by Hostname → when nmap resolves a name for you.
⚠️ Lab only: 127.0.0.1 / localhost / authorized targets.
Subscribe @Unique_Sources — NMAP Mastery path.
#Nmap #CyberSecurity #127001 #PortScan #EthicalHacking #KaliLinux</t>
  </si>
  <si>
    <t>Name</t>
  </si>
  <si>
    <t>Logic in Motion #15</t>
  </si>
  <si>
    <t>1</t>
  </si>
  <si>
    <t>Master Nmap Recon: Zero to Security Researcher#4</t>
  </si>
  <si>
    <t>nmap localhost as a Hostname Target — Name Resolves to IP | Ep.04</t>
  </si>
  <si>
    <t>2</t>
  </si>
  <si>
    <t>https://youtube.com/shorts/0p9wD4eE54k?feature=share</t>
  </si>
  <si>
    <t>English(USA)</t>
  </si>
  <si>
    <t>Ep.03 typed the IP. Ep.04 types the hostname.
Command: nmap localhost
Lesson: nmap resolves the name first — your report shows
`localhost (127.0.0.1)`.
Same lab host. New skill: hostname targeting + reading resolution in output.
Next: Scan Multiple Hosts in one command.
#Nmap #CyberSecurity #DNS #Localhost #EthicalHacking</t>
  </si>
  <si>
    <t>3</t>
  </si>
  <si>
    <t>ENGLISH(UK)</t>
  </si>
  <si>
    <t>4</t>
  </si>
  <si>
    <t>Russian</t>
  </si>
  <si>
    <t>5</t>
  </si>
  <si>
    <t>Master Nmap Recon: Zero to Security Researcher#5</t>
  </si>
  <si>
    <t>Polish</t>
  </si>
  <si>
    <t>Logic in Motion #16</t>
  </si>
  <si>
    <t>https://youtube.com/shorts/NQt1ijYlImg?feature=share</t>
  </si>
  <si>
    <t>nmap 127.0.0.1 localhost — Scan Multiple Hosts in One Command | Ep.05</t>
  </si>
  <si>
    <t>6</t>
  </si>
  <si>
    <t>One target per scan? Not always.
Ep.05: pass multiple hosts on one line.
$ nmap 127.0.0.1 localhost
Nmap runs a report for each target — watch the done line count hosts.
Next: IP range syntax with hyphens.
#Nmap #CyberSecurity #PortScan #EthicalHacking</t>
  </si>
  <si>
    <t>Persian</t>
  </si>
  <si>
    <t>7</t>
  </si>
  <si>
    <t>Jepanies</t>
  </si>
  <si>
    <t>8</t>
  </si>
  <si>
    <t>German</t>
  </si>
  <si>
    <t>9</t>
  </si>
  <si>
    <t>French</t>
  </si>
  <si>
    <t>https://youtube.com/shorts/ZQmcytmHKaE?feature=share</t>
  </si>
  <si>
    <t>Master Nmap Recon: Zero to Security Researcher#6</t>
  </si>
  <si>
    <t>10</t>
  </si>
  <si>
    <t>Arabic</t>
  </si>
  <si>
    <t>nmap 127.0.0.1-1 — IP Range Syntax with Hyphens | Ep.06</t>
  </si>
  <si>
    <t>Ep.06 introduces hyphen range syntax on a safe tiny scope.
$ nmap 127.0.0.1-1
The `-1` expands the last octet — here it's just 127.0.0.1, but the habit scales.
Always keep ranges authorized and small in the lab.
Next: CIDR notation with /32.
#Nmap #CyberSecurity #CIDR #PortScan #EthicalHacking</t>
  </si>
  <si>
    <t>https://youtube.com/shorts/tLZR08RCPdo?feature=share</t>
  </si>
  <si>
    <t>Master Nmap Recon: Zero to Security Researcher#7</t>
  </si>
  <si>
    <t>nmap -sn 127.0.0.1/32 — CIDR Notation as Your Target | Ep.07</t>
  </si>
  <si>
    <t>Ep.07: express scope with CIDR.
$ nmap -sn 127.0.0.1/32
-sn = host discovery only (no port table).
/32 = one address — perfect safe loopback practice.
Next: load targets from a file with -iL.
#Nmap #CyberSecurity #CIDR #HostDiscovery #EthicalHacking</t>
  </si>
  <si>
    <t>https://youtube.com/shorts/XOfsIh0-NUg?feature=share</t>
  </si>
  <si>
    <t>Master Nmap Recon: Zero to Security Researcher#8</t>
  </si>
  <si>
    <t>nmap -iL targets.txt — Load Targets from a File | Ep.08</t>
  </si>
  <si>
    <t>Ep.08: feed nmap an inventory file.
$ nmap -iL targets.txt
-iL = input list — one host per line.
Scales recon beyond typing IPs by hand.
Next: preview scope with -sL (list scan).
#Nmap #CyberSecurity #Recon #EthicalHacking #NetworkSecurity</t>
  </si>
  <si>
    <t>Master Nmap Recon: Zero to Security Researcher#9</t>
  </si>
  <si>
    <t>https://youtube.com/shorts/Sa21i1CDZSQ?feature=share</t>
  </si>
  <si>
    <t>nmap -sL 127.0.0.1/32 — List Scan: Preview Without Probing | Ep.09</t>
  </si>
  <si>
    <t>Ep.09: preview scope before you scan.
$ nmap -sL 127.0.0.1/32
-sL = list scan — enumerate targets with no probe packets.
"0 hosts up" is normal — nothing was probed.
Next: host discovery with -sn.
#Nmap #CyberSecurity #Recon #EthicalHacking #NetworkSecurity</t>
  </si>
  <si>
    <t>Master Nmap Recon: Zero to Security Researcher#10</t>
  </si>
  <si>
    <t>nmap -sn 127.0.0.1 — Host Discovery Without a Port Scan | Ep.10</t>
  </si>
  <si>
    <t>https://youtube.com/shorts/Tjf0FO1Wm0U?feature=share</t>
  </si>
  <si>
    <t>Ep.10: find live hosts — skip the port table.
$ nmap -sn 127.0.0.1
-sn = ping scan / host discovery only.
No PORT STATE SERVICE — just aliveness.
Next: speed it up by skipping DNS with -n.
#Nmap #CyberSecurity #HostDiscovery #Recon #EthicalHacking</t>
  </si>
  <si>
    <t>Master Nmap Recon: Zero to Security Researcher#11</t>
  </si>
  <si>
    <t>https://youtube.com/shorts/eB-pywtS-UQ?feature=share</t>
  </si>
  <si>
    <t>nmap -n — Skip DNS for Faster Scans | Ep.11</t>
  </si>
  <si>
    <t>DNS slowing you down? Add -n.
$ nmap -n -sn 127.0.0.1
-n skips reverse DNS — faster scans, less noise.
Next: Assume Online with -Pn.
Lab: 127.0.0.1 / localhost / scanme.nmap.org only.
@Unique_Sources
#Nmap #CyberSecurity #KaliLinux #EthicalHacking #InfoSec #YouTubeShorts</t>
  </si>
  <si>
    <t>https://youtube.com/shorts/cZXJaTvDge4?feature=share</t>
  </si>
  <si>
    <t>Master Nmap Recon: Zero to Security Researcher#12</t>
  </si>
  <si>
    <t>nmap -Pn — Scan When Ping Is Blocked | Ep.12</t>
  </si>
  <si>
    <t>ICMP filtered? Keep scanning.
$ nmap -Pn -p 22 127.0.0.1
-Pn treats the host as up — skips host discovery.
Next: Exclude a host with --exclude.
#Nmap #CyberSecurity #KaliLinux #EthicalHacking #Recon #YouTubeShorts</t>
  </si>
  <si>
    <t>https://youtube.com/shorts/8To1IOLEFjY?feature=share</t>
  </si>
  <si>
    <t>Master Nmap Recon: Zero to Security Researcher#13</t>
  </si>
  <si>
    <t>nmap --exclude — Skip Hosts You Must Not Touch | Ep.13</t>
  </si>
  <si>
    <t>https://youtube.com/shorts/fDxaOufARpc?feature=share</t>
  </si>
  <si>
    <t>Carve safety exceptions out of scope.
$ nmap -sn 127.0.0.0/30 --exclude 127.0.0.1
--exclude removes hosts you must not touch.
Next: IPv6 with -6.
#Nmap #CyberSecurity #NetworkSecurity #EthicalHacking #KaliLinux #YouTubeShorts</t>
  </si>
  <si>
    <t>NETCAT Mastery — From Zero to Security Researcher #20</t>
  </si>
  <si>
    <t>Master Nmap Recon: Zero to Security Researcher#14</t>
  </si>
  <si>
    <t>nmap -6 — IPv6 Scan on Loopback ::1 | Ep.14</t>
  </si>
  <si>
    <t>https://youtube.com/shorts/k5LfH_RuIiU?feature=share</t>
  </si>
  <si>
    <t>Practice IPv6 safely.
$ nmap -6 -sn ::1
-6 enables IPv6 mode — ::1 is loopback.
Next: Verbose mode with -v.
#Nmap #CyberSecurity #IPv6 #KaliLinux #EthicalHacking #YouTubeShorts</t>
  </si>
  <si>
    <t>https://youtube.com/shorts/BZSzwKG-EJU?feature=share</t>
  </si>
  <si>
    <t>Master Nmap Recon: Zero to Security Researcher#30</t>
  </si>
  <si>
    <t>Master Nmap Recon: Zero to Security Researcher#15</t>
  </si>
  <si>
    <t>nmap -v — See What the Scan Is Doing | Ep.15</t>
  </si>
  <si>
    <t>Turn the volume up while you learn.
$ nmap -v -sn 127.0.0.1
-v increases verbosity — more insight into nmap.
Next: Specific ports with -p.
#Nmap #CyberSecurity #KaliLinux #LearnHacking #InfoSec #YouTubeShorts</t>
  </si>
  <si>
    <t>https://youtube.com/shorts/KmcItUpF7oU?feature=share</t>
  </si>
  <si>
    <t>Master Nmap Recon: Zero to Security Researcher#16</t>
  </si>
  <si>
    <t>nmap -p — Scan Exactly the Ports You Need | Ep.16</t>
  </si>
  <si>
    <t>Ask a precise question.
$ nmap -p 22 127.0.0.1
-p selects exact ports.
Next: Fast top ports with -F.
#Nmap #CyberSecurity #PortScan #KaliLinux #EthicalHacking #YouTubeShorts</t>
  </si>
  <si>
    <t>Master Nmap Recon: Zero to Security Researcher#17</t>
  </si>
  <si>
    <t>https://youtube.com/shorts/pv7cduW4d3g?feature=share</t>
  </si>
  <si>
    <t>nmap -F — Fast Top-Ports First Pass | Ep.17</t>
  </si>
  <si>
    <t>Logic in Motion #17</t>
  </si>
  <si>
    <t>Quick overview, then go deeper.
$ nmap -F 127.0.0.1
-F scans fewer top ports — snappier labs.
Next: Show open ports only with --open.
#Nmap #CyberSecurity #PortScan #KaliLinux #InfoSec #YouTubeShorts</t>
  </si>
  <si>
    <t>Not List</t>
  </si>
  <si>
    <t>Master Nmap Recon: Zero to Security Researcher#18</t>
  </si>
  <si>
    <t>The Easiest Way to Clean Up Messy Nmap Scans #18</t>
  </si>
  <si>
    <t>https://youtube.com/shorts/q0D7y2Ue13U?feature=share</t>
  </si>
  <si>
    <t>Tired of messy scan outputs? Use the --open flag to hide closed and filtered port noise, keeping your reports clean and focused strictly on live targets.
Command used: $ nmap --open -F 127.0.0.1
🔹 Key Takeaway: --open filters out closed/filtered noise.
⏭️ Up Next: Ep.19 – Speeding up scans with -T4.
#Nmap #CyberSecurity #EthicalHacking #Recon #KaliLinux #InfoSec #YouTubeShorts</t>
  </si>
  <si>
    <t>https://youtube.com/shorts/TvFhXgRYLeE?feature=share</t>
  </si>
  <si>
    <t>Master Nmap Recon: Zero to Security Researcher#19</t>
  </si>
  <si>
    <t>Why Your Nmap Scans Take Forever (Fix with -T4) #19</t>
  </si>
  <si>
    <t>Speed up your lab network reconnaissance with the -T4 aggressive timing template in Nmap.
    Command:
    nmap -T4 -F 127.0.0.1
    🔹 -T4: Sets aggressive timing to cut down scan duration on fast, reliable lab networks.
    🔹 -F: Fast scan mode (checks the top 100 most common ports).
    ⚠️ Note: Keep aggressive scans within your lab or authorized environments to avoid network congestion or packet loss.
    ⏭️ Next Up: Saving your scan results to a text file using -oN.
    #Nmap #CyberSecurity #EthicalHacking #InfoSec #KaliLinux #Shorts</t>
  </si>
  <si>
    <t>https://youtube.com/shorts/zjs_rJ9lhPU?feature=share</t>
  </si>
  <si>
    <t>Master Nmap Recon: Zero to Security Researcher#20</t>
  </si>
  <si>
    <t>nmap -oN — Save Your Scan Report | Ep.20</t>
  </si>
  <si>
    <t>Evidence on disk - scrolling terminal.
$ nmap -oN scan.txt -F 127.0.0.1
-oN writes a normal text report.
Next: XML output with -oX.
#Nmap #CyberSecurity #KaliLinux #EthicalHacking #InfoSec #YouTubeShorts</t>
  </si>
  <si>
    <t>https://youtube.com/shorts/FODjjx_Q8fU?feature=share</t>
  </si>
  <si>
    <t>Master Nmap Recon: Zero to Security Researcher#21</t>
  </si>
  <si>
    <t>Stop Copy-Pasting Scans: Use nmap -oX for XML #21</t>
  </si>
  <si>
    <t>Need machine-readable scan reports for automated tools, scripting, or reporting? 
In this episode, we use the -oX flag to export Nmap results directly to XML format for easy parsing.
Command used:
$ nmap -oX scan.xml -F 127.0.0.1
Key Takeaways:
• -oX writes structured XML for security tools and parsers.
• Next up: Exporting all formats simultaneously with -oA.
⚠️ Safe Lab Practice: Use only on authorized targets (127.0.0.1 / localhost / scanme.nmap.org).
Subscribe to @Unique_Sources for more cybersecurity &amp; Nmap tutorials!
#Nmap #CyberSecurity #KaliLinux #EthicalHacking #InfoSec #YouTubeShorts #Shorts</t>
  </si>
  <si>
    <t>https://youtube.com/shorts/lo8U7EDTtno?feature=share</t>
  </si>
  <si>
    <t>Master Nmap Recon: Zero to Security Researcher#22</t>
  </si>
  <si>
    <t>The Only Nmap Export Flag You'll Ever Need #22</t>
  </si>
  <si>
    <t>Save time by generating all three major Nmap report formats (.nmap, .xml, and .gnmap) in a single command using the -oA switch.
Command:
$ nmap -oA labscan -F 127.0.0.1
-oA writes standard, XML, and grepable outputs sharing one base filename.
Next up: targeted port scanning with -p.
#Nmap #CyberSecurity #EthicalHacking #KaliLinux #InfoSec #Shorts</t>
  </si>
  <si>
    <t>https://youtube.com/shorts/G3bMjLGY8Iw?feature=share</t>
  </si>
  <si>
    <t>Assets ID</t>
  </si>
  <si>
    <t>Master Nmap Recon: Zero to Security Researcher#23</t>
  </si>
  <si>
    <t>Type</t>
  </si>
  <si>
    <t>How to Scan Web Ports Fast with Nmap #23</t>
  </si>
  <si>
    <t>Stop wasting time scanning unnecessary ports. Use the -p flag with comma-separated port numbers to scan only the targets that matter—like web ports 80 and 443.
💻 Command used:
$ nmap -p 80,443 127.0.0.1
⏭️ Next up: Scanning port ranges with -p 1-100.
#Nmap #CyberSecurity #PortScan #KaliLinux #EthicalHacking #InfoSec #Shorts</t>
  </si>
  <si>
    <t>Context</t>
  </si>
  <si>
    <t>Storage Location</t>
  </si>
  <si>
    <t>https://youtube.com/shorts/D_cTiY6rsEA?feature=share</t>
  </si>
  <si>
    <t>Emojie</t>
  </si>
  <si>
    <t>Master Nmap Recon: Zero to Security Researcher#24</t>
  </si>
  <si>
    <t>•</t>
  </si>
  <si>
    <t>The Exact Nmap Flag to Scan Port Ranges Fast #24</t>
  </si>
  <si>
    <t>Learn how to scan a contiguous range of ports using Nmap with the -p flag.
Command demonstrated:
$ nmap -p 1-100 127.0.0.1
Using `-p START-END` scopes your scan to specific port blocks, saving time and keeping your reconnaissance targeted.
Next Episode:
Using `--top-ports` for rapid triage.
#Nmap #CyberSecurity #PortScan #EthicalHacking #InfoSec #KaliLinux #Shorts</t>
  </si>
  <si>
    <t>https://youtube.com/shorts/CY0aCY856xI?feature=share</t>
  </si>
  <si>
    <t>💻</t>
  </si>
  <si>
    <t>Master Nmap Recon: Zero to Security Researcher#25</t>
  </si>
  <si>
    <t>How Hackers Scan the Top 1000 Ports? | Master Nmap #25</t>
  </si>
  <si>
    <t>Scanning all 65,535 ports can be slow and noisy, So how do professionals find the most likely openings quickly?
The answer is Nmap’s default behavior. Nmap scans the 'Top 1000' most common TCP ports by default. These are the ports most frequently found open during security assessments.
Understanding what Nmap scans by default is crucial for both speed and stealth during the reconnaissance phase.
In this tutorial, we break down how Nmap prioritizes these ports and how to explicitly scan the top ports using the --top-ports flag.
💻 Command Used:
$ nmap --top-ports 100 127.0.0.1
🔍 Flag Breakdown:
--top-ports 100: Instructs Nmap to scan the 100 most common ports based on frequency data, rather than the default 1000.
127.0.0.1: Scans the local loopback address(our isolated lab environment).
⚠️ Important Disclaimer:
Educational Purposes Only: This video is created strictly for learning and authorized testing. Real ethical hackers and security researchers work to secure systems, share knowledge and protect the community.
Authorized Testing Only: All demonstrations are performed in a controlled local lab environment(localhost).
Never run port or vulnerability scans against networks, systems or targets without explicit written permission.
📌 Check the Pinned Comment: Why do you think Nmap defaults to 1000 ports instead of scanning all 65535 immediately? Let’s discuss below!
⏭️ Next Up: You should use nmap sT when ROOT is BLOCKED #26
#Nmap #EthicalHacking #CyberSecurity #NetworkSecurity #InfoSec #PortScanning #Reconnaissance</t>
  </si>
  <si>
    <t>📌</t>
  </si>
  <si>
    <t>Master Nmap Recon: Zero to Security Researcher#26</t>
  </si>
  <si>
    <t>👇</t>
  </si>
  <si>
    <t>You should use nmap sT when ROOT is BLOCKED #26</t>
  </si>
  <si>
    <t>No ROOT privileges?
You can still run a full port scan using the Nmap -sT flag:
$ nmap -sT -p 22 127.0.0.1
The -sT flag completes the full 3-way TCP handshake, allowing you to scan open ports without requiring raw socket or root permissions.
Next Episode:
SYN Stealth Scanning with -sS
🔔 Subscribe:
 @Unique_Sources  
#Nmap #CyberSecurity #EthicalHacking #KaliLinux #Networking #PortScan #Shorts</t>
  </si>
  <si>
    <t>👁️</t>
  </si>
  <si>
    <t>♥️</t>
  </si>
  <si>
    <t>Master Nmap Recon: Zero to Security Researcher#27</t>
  </si>
  <si>
    <t>🎬</t>
  </si>
  <si>
    <t>How to Run a Stealth SYN Scan with Nmap #27</t>
  </si>
  <si>
    <t>Master the classic half-open scan in Nmap! 🕵️‍♂️
💻 Command:
$ nmap -sS -p 22 127.0.0.1
⚡ Why use -sS?
-sS (SYN Stealth Scan) sends SYN packets without completing the TCP 3-way handshake. It requires root/administrator privileges, runs significantly faster than a full TCP connect scan (-sT) and generates less noise in application logs.
🔜 Up Next:
Version Detection (-sV)
🔔 Subscribe for daily networking &amp; cybersecurity tips:
@Unique_Sources
#Nmap #CyberSecurity #EthicalHacking #KaliLinux #Recon #YouTubeShorts #InfoSec #Networking</t>
  </si>
  <si>
    <t>Master Nmap Recon: Zero to Security Researcher#28</t>
  </si>
  <si>
    <t>🔔</t>
  </si>
  <si>
    <t>How Hackers Fingerprint OPEN Services Version? | Master Nmap #28</t>
  </si>
  <si>
    <t>You ran a port scan and discovered an open port, what’s your next move?
To think like a cybersecurity researcher and ethical hacker, the critical next step is service fingerprinting and version detection. Knowing the exact software version running on an open port helps you identify known vulnerabilities, misconfigurations and outdated software.
In this tutorial, we focus on identifying the OpenSSH service running on Port 22 using Nmap’s -sV switch.
💻 Command Used:
$ nmap -sV -p 22 127.0.0.1
🔍 Flag Breakdown:
-s: Service probe
-V: Version detection
-sV: Directs Nmap to interrogate open ports to determine the exact service/version info.
-p 22: Restricts the scan specifically to Port 22 (SSH).
127.0.0.1: Scans the local loopback address (our isolated lab environment).
⚠️ Important Disclaimer:
Educational Purposes Only: This video is created strictly for learning and authorized testing. Real ethical hackers and security researchers work to secure systems, share knowledge and protect the community.
Authorized Testing Only: All demonstrations are performed in a controlled local lab environment (localhost). Never run port or vulnerability scans against networks, systems, or targets without explicit, written permission.
📌 Check the Pinned Comment: Why is precise version detection so important during an assessment? Let’s discuss below!
▶️ Next Up: Running Nmap Default Scripts with the -sC flag. Don't forget to subscribe so you don't miss the next episode!
#Nmap #EthicalHacking #CyberSecurity #NetworkSecurity #InfoSec</t>
  </si>
  <si>
    <t>🔍</t>
  </si>
  <si>
    <t>⚠️</t>
  </si>
  <si>
    <t>Nmap Default Scripts(-sC) Explained 🔍 #29</t>
  </si>
  <si>
    <t>You ran a port scan &amp; discovered an open port, what’s your next move?
If you tuned in last time, you know we used -sV to find out what software is running on Port 22. But knowing the version is only half the battle, to think like a cybersecurity researcher, the critical next step is automated vulnerability discovery.
In this tutorial, we move beyond just identifying the service and start interrogating it using Nmap’s Default Scripts, also known as the -sC flag.
💻 Command Used:
$ nmap -sC -p 22 127.0.0.1
🔍 Flag Breakdown:
-sC: This is the star of the show. It directs Nmap to run a set of default scripts against the target port.
The "C" stands for Category: These scripts are categorized as "default" &amp; "safe" meaning they provide valuable reconnaissance without crashing the service.
What it does: It probes for things like SSH host keys, supported authentication methods &amp; potential misconfigurations.
-p 22: Restricts the scan specifically to Port 22(SSH).
127.0.0.1: Scans the local loopback address(our isolated lab environment).
⚠️ Important Disclaimer:
Educational Purposes Only. This video is strictly for learning &amp; authorized testing. Real ethical hackers work to secure systems.
Authorized Testing Only: All demonstrations are performed in a controlled local lab environment. Never run scans against targets without explicit written permission.
📌 Check the Pinned Comment: What is the difference between -sV &amp; -sC? Let’s discuss below!
▶️ Next Up: We will combine everything we've learned so far. Don't forget to subscribe so you don't miss the next episode!
#Nmap #EthicalHacking #CyberSecurity #NetworkSecurity #InfoSec #Shorts #PenTesting #SSH #NSE #NmapScripts</t>
  </si>
  <si>
    <t>🗨️</t>
  </si>
  <si>
    <t>nmap, nmap default scripts, nmap -sC, nmap scripts, NSE, nmap scripting engine, nmap tutorial, nmap for beginners, ethical hacking, cybersecurity, network security, infosec, penetration testing, port scanning, service fingerprinting, version detection, vulnerability scanning, ssh enumeration, nmap ssh, nmap commands, nmap basics, kali linux, reconnaissance, open port, cyber security tutorial, hacking tutorial, learn nmap, nmap shorts, cybersecurity shorts, ethical hacking shorts, nmap port 22, localhost scanning, authorized testing</t>
  </si>
  <si>
    <t>⏭️</t>
  </si>
  <si>
    <t>OS Detection</t>
  </si>
  <si>
    <t>⏮️</t>
  </si>
  <si>
    <t>📐</t>
  </si>
  <si>
    <t>Master Nmap Recon: Zero to Security Researcher#31</t>
  </si>
  <si>
    <t>Aggressive(-A)</t>
  </si>
  <si>
    <t>🔗</t>
  </si>
  <si>
    <t>Logic in Motion</t>
  </si>
  <si>
    <t>Master Nmap Recon: Zero to Security Researcher#32</t>
  </si>
  <si>
    <t>https://youtube.com/shorts/yTeFxKtx12Y?feature=share</t>
  </si>
  <si>
    <t>🖊️</t>
  </si>
  <si>
    <t>UDP Scan(-sU)</t>
  </si>
  <si>
    <t>🫙</t>
  </si>
  <si>
    <t>📃</t>
  </si>
  <si>
    <t>🌍</t>
  </si>
  <si>
    <t>https://youtube.com/shorts/AOMSNPGwqzY?feature=share</t>
  </si>
  <si>
    <t>🎉</t>
  </si>
  <si>
    <t>Master Nmap Recon: Zero to Security Researcher#33</t>
  </si>
  <si>
    <t xml:space="preserve">ACK Scan(-sA) </t>
  </si>
  <si>
    <t>⌛</t>
  </si>
  <si>
    <t>⚙️</t>
  </si>
  <si>
    <t>https://youtube.com/shorts/G3Nlj1b5v9k?feature=share</t>
  </si>
  <si>
    <t>🐞</t>
  </si>
  <si>
    <t>Master Nmap Recon: Zero to Security Researcher#34</t>
  </si>
  <si>
    <t>FIN Scan(-sF)</t>
  </si>
  <si>
    <t>🧊</t>
  </si>
  <si>
    <t>https://youtube.com/shorts/DgcOUrTPY74?feature=share</t>
  </si>
  <si>
    <t>🧠</t>
  </si>
  <si>
    <t>Master Nmap Recon: Zero to Security Researcher#35</t>
  </si>
  <si>
    <t>🔑</t>
  </si>
  <si>
    <t>https://youtube.com/shorts/Uly1siESs34?feature=share</t>
  </si>
  <si>
    <t>Master Nmap Recon: Zero to Security Researcher#36</t>
  </si>
  <si>
    <t>https://youtube.com/shorts/Ja2RjLxBlrk?feature=share</t>
  </si>
  <si>
    <t>Time duration</t>
  </si>
  <si>
    <t>Text</t>
  </si>
  <si>
    <t>Master Nmap Recon: Zero to Security Researcher#37</t>
  </si>
  <si>
    <t>Reason(--reason)</t>
  </si>
  <si>
    <t>Master Nmap #15</t>
  </si>
  <si>
    <t>https://youtube.com/shorts/dPmOtIB1BBw?feature=share</t>
  </si>
  <si>
    <t>Master Nmap Recon: Zero to Security Researcher#38</t>
  </si>
  <si>
    <t>Greppable(-oG)</t>
  </si>
  <si>
    <t>https://youtube.com/shorts/ZUfNkKHmhIM?feature=share</t>
  </si>
  <si>
    <t>Master Nmap Recon: Zero to Security Researcher#39</t>
  </si>
  <si>
    <t>Traceroute</t>
  </si>
  <si>
    <t>https://youtube.com/shorts/wF2OQQobC5s?feature=share</t>
  </si>
  <si>
    <t>Master Nmap Recon: Zero to Security Researcher#40</t>
  </si>
  <si>
    <t>Banner Script</t>
  </si>
  <si>
    <t>Logic in Motion #1</t>
  </si>
  <si>
    <t>How a Rolling Circle Draws Infinite Geometry | Logic in Motion #01</t>
  </si>
  <si>
    <t>https://youtube.com/shorts/W93Zrk4xwY0?feature=share</t>
  </si>
  <si>
    <t>Visualizing mathematical beauty through code.
In this episode of Logic in Motion, we explore Neon Orbit; a six-fold Spirograph mandala using hypothyroid curves.
📐 The Math &amp; Logic:
• Concept: Parametric rolling-circle curves
• Key Formula / Rule: x = (R − r)·cos(t) + d·cos(((R − r) / r)·t)
• Tools: Python / Turtle
🔁 Logic in Motion Series:
• Watch the full playlist: https://youtube.com/playlist?list=PLMG4RCtlrh18&amp;si=jl8Cz_FDYUVfpHno
• Previous Episode: this is the first episode
• Next Episode: Watch Angles Weave a Star | Logic in Motion #02
💻 Source Code &amp; Resources:
• Code repository / Gist: https://github.com/irAbs174/Logic_in_motion
#LogicInMotion #CreativeCoding #Python #GenerativeArt #MathArt #Short</t>
  </si>
  <si>
    <t>Logic in Motion #2</t>
  </si>
  <si>
    <t>Watch Angles Weave a Star | Logic in Motion #02</t>
  </si>
  <si>
    <t>Visualizing mathematical beauty through code.
In this episode of Logic in Motion we explore The Birth of a Star; intersecting polygons using star polygons.
📐 The Math &amp; Logic:
• Concept: Regular star polygons
• Key Formula / Rule: step angle = 360° / points × 2
• Tools: JavaScript / Canvas
🔁 Logic in Motion Series:
• Watch the full playlist: https://youtube.com/playlist?list=PLMG4RCtlrh18&amp;si=jl8Cz_FDYUVfpHno
• Previous Episode: How a Rolling Circle Draws Infinite Geometry | Logic in Motion #01
• Next Episode: The Secret Equation Behind a Seashell | Logic in Motion #03
💻 Source Code &amp; Resources:
• Code repository / Gist: https://github.com/irAbs174/Logic_in_motion
#LogicInMotion #CreativeCoding #Python #GenerativeArt #MathArt #Short</t>
  </si>
  <si>
    <t>https://youtube.com/shorts/YFSXgrE22HU?feature=share</t>
  </si>
  <si>
    <t>Logic in Motion #3</t>
  </si>
  <si>
    <t>The Secret Equation Behind a Seashell | Logic in Motion #03</t>
  </si>
  <si>
    <t>name</t>
  </si>
  <si>
    <t>Visualizing mathematical beauty through code.
In this episode of Logic in Motion we explore The Infinite Spiral; a golden-ratio seashell using a multi-harmonic logarithmic spiral.
📐 The Math &amp; Logic:
• Concept: Golden-ratio growth
• Key Formula / Rule: r = growth · φ^(θ·0.28),  φ ≈ 1.618
• Tools: JavaScript / Canvas
🔁 Logic in Motion Series:
• Watch the full playlist: https://youtube.com/playlist?list=PLMG4RCtlrh18&amp;si=jl8Cz_FDYUVfpHno
• Previous Episode: Watch Angles Weave a Star | Logic in Motion #02
• Next Episode: The Secret Formula Behind the Quantum Rose #4 
💻 Source Code &amp; Resources:
• Code repository / Gist: https://github.com/irAbs174/Logic_in_motion
#LogicInMotion #CreativeCoding #javascript  #GenerativeArt #MathArt #Short</t>
  </si>
  <si>
    <t>type</t>
  </si>
  <si>
    <t>Share Link</t>
  </si>
  <si>
    <t>https://youtube.com/shorts/kpSNhqOnyaw?feature=share</t>
  </si>
  <si>
    <t>COLL1</t>
  </si>
  <si>
    <t>Master Nmap Recon | Zero to Security Researcher</t>
  </si>
  <si>
    <t>Logic in Motion #4</t>
  </si>
  <si>
    <t>How One Cosine Draws a Rose | Logic in Motion #04</t>
  </si>
  <si>
    <t>One Command per Short !
Learn network scanning and recon from the ground up-one switch at a time.
Designed for Kali Linux users and cybersecurity learners;
This series delivers fast, terminal-first Shorts that cut straight to practical implementation.
What You’ll Learn:
    1. Host Discovery (-sn) Locate live targets without port noise
    2. SYN Stealth Scan (-sS) - The standard reconnaissance baseline
    3. TCP Connect (-sT) - Reliable scanning when raw sockets aren't an option
    4. Service Versioning (-sV) - Fingerprint running applications and services
    5. Default Scripts (-sC) - Run safe, practical NSE scripts instantly
    6. OS Fingerprinting (-O) - Identify target operating systems
    7. Aggressive Scan (-A) - Combine OS, version detection, scripts, and traceroute
    8. Timing Templates (-T0 to -T4) - Balance speed against network stealth
    9. Output Formats (-oN / -oX) - Export clean scan results for reporting
    10. UDP Scanning (-sU) - Map hidden services and UDP ports
    11. NSE Scripts (--script) - Target specific vulnerability checks
    12. Target Exclusion (--exclude) - Filter out sensitive or out-of-scope hosts
Format &amp; Style:
    One focused command per episode with real-time terminal output
    Clear breakdowns: Command, syntax breakdown, and practical tips
    No fluff: Terminal-first, practical security workflows
    Mission: Step by step until becoming a security researcher.
⚠️ Ethical Disclaimer: Only scan systems you own or have explicit authorization to test. Unauthorized scanning is strictly prohibited.
Authorized Practice Targets: scanme.nmap.org | 127.0.0.1
📌 Resources &amp; Links:
    Official Documentation: https://nmap.org/book/man.html
    Practice Host: https://scanme.nmap.org/
🔔 Subscribe to Unique Sources for more hands-on security tooling, recon walkthroughs, and Linux tutorials.
#Nmap #CyberSecurity #KaliLinux #EthicalHacking #InfoSec #PenetrationTesting #NetworkScanning #YouTubeShorts</t>
  </si>
  <si>
    <t>Drawing a Mathematical Quantum Rose Is Not Hard!
In this episode of Logic in Motion, we explore The Quantum Rose &amp; rhodonea harmonics, using a ROSE CURVE.
📐 The Math &amp; Logic:
• Concept: Polar rose curves
• Key Formula / Rule: r = scale · cos(k·θ)
• Tools: JavaScript / Canvas
🔁 Logic in Motion Series:
• Watch the full playlist: https://youtube.com/playlist?list=PLMG4RCtlrh18&amp;si=jl8Cz_FDYUVfpHno
• Previous Episode: The Secret Equation Behind a Seashell | Logic in Motion #03
• Next Episode: The Koch Snowflake Algorithm | Logic in Motion #05
💻 Source Code &amp; Resources:
• Code repository / Gist: https://github.com/irAbs174/Logic_in_motion
#LogicInMotion #CreativeCoding #Python #GenerativeArt #MathArt #Short</t>
  </si>
  <si>
    <t>course</t>
  </si>
  <si>
    <t>COLL2</t>
  </si>
  <si>
    <t xml:space="preserve">NETCAT Mastery </t>
  </si>
  <si>
    <t>https://youtube.com/shorts/wqLE_nUdnls?feature=share</t>
  </si>
  <si>
    <t>NETCAT Mastery — From Zero to Security Researcher</t>
  </si>
  <si>
    <t>Logic in Motion #5</t>
  </si>
  <si>
    <t>Learn netcat the right way — one flag at a time.
This collection walks you from your first connect to listen mode, file
transfer, UDP, banners, and clean lab habits — in bite-sized vertical Shorts
built for Kali-style terminal learning.
What you'll master:
• Install check (nc -h) — confirm the tool before you connect
• TCP connect — talk to a local service on a port
• Verbose (-v) — see succeed / fail clearly
• Listen (-l / -lv) — the other side of every lab
• No DNS (-n) and timeout (-w) — cleaner, safer labs
• Chat &amp; file transfer — pipe and redirect over TCP
• UDP (-u) — datagram listen and send
• Zero-I/O (-z) — fast port probes
• Keep-open (-k), source port (-p), IPv6 (-6), EOF (-N)
• HTTP banner grabs — talk protocols by hand
Every episode:
→ One real command typed in a glass terminal
→ Realistic netcat output at human pace
→ One galactic explanation card — headline, command, tip
→ Next episode tease at the end
Series vibe: calm authority. Dark ops room. No fluff. Terminal-first.
Tagline: Step by step until becoming a security researcher.
⚠️ Lab ethics: only connect to targets you own or have explicit permission to test.
Practice targets: 127.0.0.1 · localhost · ::1
This series teaches networking with netcat — not reverse shells.
New Shorts drop in order — start at ep.01 and binge the path.
If a clip helped you, share it with someone learning networking tools.
Subscribe @Unique_Sources for netcat mastery + more security tooling series.
#Netcat #CyberSecurity #KaliLinux #EthicalHacking #InfoSec
#Networking #YouTubeShorts #SecurityResearcher #Linux #TechEducation
#CommandLine #Homelab #LearnHacking #TCP #UDP</t>
  </si>
  <si>
    <t>Play List</t>
  </si>
  <si>
    <t>3 Lines of Code Created This INSANE Math Pattern | Lissajous Matrix #05</t>
  </si>
  <si>
    <t>Welcome to Episode 5 of our series, where we dive into the fascinating world of harmonic interference with the Lissajous Matrix!
In this episode, we'll explore how mathematical equations can create mesmerizing visual patterns using sinusoidal functions. Adjust the frequencies of X and Y to see how different combinations form unique Lissajous curves, revealing the beautiful interplay of mathematics and art.
🔍 Get hands-on with our simulator and experiment with parameters to discover these captivating shapes for yourself. Plus, check out our GitHub repository for the full code and dive deeper into the math behind the magic.
Ready to explore the wonders of harmonic interference? Let’s get started!
#LissajousMatrix #MathMagic #HarmonicInterference</t>
  </si>
  <si>
    <t>COLL3</t>
  </si>
  <si>
    <t>https://youtube.com/shorts/oKOpeF0cKvg?feature=share</t>
  </si>
  <si>
    <t>Logic in Motion #6</t>
  </si>
  <si>
    <t>I coded a Hypnotic Math Simulator | Loginc In Motion #06</t>
  </si>
  <si>
    <t>Logic in Motion turns MATH into living ART, One algorithm per Short.
Pure generative art synced to ambient sound. Code snippets are included in each description.
Created using Python &amp; JavaScript.
👁️ What you'll see:
• EP1. How a Rolling Circle Draws Infinite Geometry | Logic in Motion #01
• EP2. Watch Angles Weave a Star | Logic in Motion #02
• EP3. The Secret Equation Behind a Seashell | Logic in Motion #03
• EP4. How One Cosine Draws a Rose | Logic in Motion #04
• EP5. The Koch Snowflake Algorithm | Logic in Motion #05
• EP6. The Illusion of Motion | Parallel Lines and Curves | Logic in Motion #06
• EP7. Classic Spirograph Geometry with #Python Turtle | Logic in Motion #07
• EP8. This Shape Comes From Just ONE Equation | Logic in Motion #08
• EP9. How a Circle Rolls Into a Heart | Logic in Motion #09
• EP10. How Code Draws a 3D Torus Knot #10
• EP11. How 3 Lines of Math Draw Endless Chaos | Logic in Motion #11
• EP12. Why This Boundary Never Ends | Logic in Motion #12
• EP13. The Julia Set
• EP14. The • EPitrochoid Lattice
• EP15. The N• EPhroid Web
• EP16. The Deltoid Star
• EP17. The Lemniscate of Bernoulli
• EP18. The Archimedean Spiral
• EP19. The Hyperbolic Spiral
• EP20. The Ceva &amp; Pascal Conics
• EP21. The Aizawa Attractor
• EP22. The Clifford Torus Attractor
• EP23. The De Jong Attractor
• EP24. The Thomas Cyclical Attractor
• EP25. The Halley Fractal
• EP26. The Newton Fractal
• EP27. The Apollonian Gasket
• EP28. The Penrose Tiling
• EP29. The Navier-Stokes Vortex
• EP30. The Grand Unified Quantum Lattice
• EP31. The Bloch Sphere
• EP32. The Schrödinger Wav• EPacket
• EP33. Quantum Entanglement Matrix
• EP34. The Quantum Harmonic Oscillator
• EP35. Quantum Tunneling Potential Well
• EP36. The Sacred Metatron’s Cube
• EP37. The Flower of Life
• EP38. The Sri Yantra
• EP39. The Penrose Quasicrystal Lattice
• EP40. The Hyperdimensional Hypersphere
• EP41. The Zero-Point Vacuum
• EP42. The Entropy Equilibrium
• EP43. The Null Geodesic
• EP44. The Silent Monopole
• EP45. The Event Horizon
• EP46. The Vacuum Fluctuation
• EP47. The Zen Master Equation
• EP48. The CMB Whisper
• EP49. The Tao of Zero
• EP50. The Grand Silence
• EP51. The Calabi-Yau Manifold
• EP52. The Poincaré Disk
• EP53. The Ryu-Takayanagi Surface
• EP54. The Hopf Fibration
• EP55. The Quantum Foam
• EP56. The Penrose Diagram
• EP57. The Klein Bottle
• EP58. The Borromean Rings
• EP59. The Mandelbulb Fractal
• EP60. The Omniverse Nexus
🔔 Enjoying the visuals?
Subscribe &amp; Share this Short with anyone who appreciates math.
@Unique_Sources
📌 Full Series Playlist:
https://youtube.com/playlist?list=PLMG4RCtlrh18&amp;si=jl8Cz_FDYUVfpHno
#LogicInMotion #GenerativeArt #MathArt #CreativeCoding #AlgorithmicArt #Fractals #DigitalArt #YouTubeShorts #Shorts</t>
  </si>
  <si>
    <t>Ever wondered how math equations can draw hypnotizing neon patterns?
In Episode 6 of the Math Simulator series, we dive into Hypotrochoid formulas (the math behind classic Spirographs) using JavaScript math functions cos() and sin() to render a dynamic "Neon Lattice" web in real-time.
Adjusting parameters like Fixed Radius ($R$) and Rolling Radius ($r$) completely transforms the geometry!
👇 Drop a comment:
What math concept should I visualize in Episode 7?
#mathart  #JavaScript #CreativeCoding #CodingTips #Hypotrochoid #VisualMath #WebDev #Shorts</t>
  </si>
  <si>
    <t>Logic in Motion #7</t>
  </si>
  <si>
    <t>https://youtube.com/shorts/-Gfm5RKBcsA?feature=share</t>
  </si>
  <si>
    <t>How 2 Lines of Code Create Nature’s Patterns 🌀 #07</t>
  </si>
  <si>
    <t>Ever wondered how sunflowers arrange their seeds so perfectly? 🌀
It's all based on Fermat’s Spiral(Parabolic Phyllotaxis)!
We can render this beautiful organic pattern in code.
equations:
let theta = i * 137.5 * (Math.PI / 180);
let r = c * Math.sqrt(i);
🔔 Subscribe:
 @Unique_Sources  
#Coding #GenerativeArt #JavaScript #MathInCode #GoldenRatio #CreativeCoding #AlgorithmicArt #UniqueSources #DevLife #STEM #WebDev</t>
  </si>
  <si>
    <t>Logic in Motion #8</t>
  </si>
  <si>
    <t>This Shape Comes From Just ONE Equation | Logic in Motion #08</t>
  </si>
  <si>
    <t>What happens when mathematics turns into motion? 
This is the Astroid Curve(Hypocycloid with Four Cusps) and generated from the simple. 
📐 The Math &amp; Logic:
• Concept: Complex quadratic iteration
• Key Formula / Rule: x = a · cos³(t); y = a · sin³(t)
• Tools: JavaScript / Canvas
🎬 Logic in Motion Series:
• Watch the full playlist: https://youtube.com/playlist?list=PLMG4RCtlrh18&amp;si=jl8Cz_FDYUVfpHno
• Previous Episode: How 2 Lines of Code Create Nature's Patterns #07
• Next Episode: How a Circle Rolls Into a Heart | Logic in Motion #09
💻 Source Code &amp; Resources:
• Code repository / Gist: https://github.com/irAbs174/Logic_in_motion
🔔  @Unique_Sources  
#Shorts #Math #Mathematics #Astroid #Hypocycloid #Geometry #Coding #CreativeCoding #GenerativeArt #MathArt</t>
  </si>
  <si>
    <t>https://youtube.com/shorts/wCI0iL3jXBM?feature=share</t>
  </si>
  <si>
    <t>Hook Description</t>
  </si>
  <si>
    <t>Subtitle</t>
  </si>
  <si>
    <t>Logic in Motion #9</t>
  </si>
  <si>
    <t>Quiz</t>
  </si>
  <si>
    <t>Scenses Count</t>
  </si>
  <si>
    <t>How a Circle Rolls Into a Heart | Logic in Motion #09</t>
  </si>
  <si>
    <t>Visualizing mathematical beauty through code.
In this episode of Logic in Motion, we explore The Cardioid Bloom; an epicycloid heart using a cardio-id.
📐 The Math &amp; Logic:
• Concept: Epicycloid with one cusp
• Key Formula / Rule: r = a·(1 − cos(θ))
• Tools: JavaScript / Canvas
🔁 Logic in Motion Series:
• Watch the full playlist: https://youtube.com/playlist?list=PLMG4RCtlrh18&amp;si=jl8Cz_FDYUVfpHno
• Previous Episode: This Shape Comes From Just ONE Equation | Astroid Curve  #08
• Next Episode: Watch a Knot Live on a Donut | Logic in Motion #10
💻 Source Code &amp; Resources:
• Code repository / Gist: https://github.com/irAbs174/Logic_in_motion
#generativeart #mathart #javascript #creativecoding #vanillajs #LogicInMotion</t>
  </si>
  <si>
    <t xml:space="preserve">Visualizing mathematical beauty through code. In this episode of Logic in Motion, we explore The Mandelbrot Fractal, infinite complex boundaries, using the Mandelbrot set. </t>
  </si>
  <si>
    <t>📐 The Math &amp; Logic: • Concept: Complex quadratic iteration • Key Formula / Rule: z → z² + c, colored by escape time • Tools: JavaScript / Canvas 🔁 Logic in Motion Series: • Watch the full playlist: https://youtube.com/playlist?list=PLMG4RCtlrh18&amp;si=jl8Cz_FDYUVfpHno • Previous Episode: How 3 Lines of Math Draw Endless Chaos | Logic in Motion #11 • Next Episode: What If the Constant Never Changes | Logic in Motion #13 💻 Source Code &amp; Resources: • Code repository / Gist: https://github.com/irAbs174/Logic_in_motion #LogicInMotion #CreativeCoding #Python #GenerativeArt #MathArt #Short</t>
  </si>
  <si>
    <t>Logic in Motion #10</t>
  </si>
  <si>
    <t>How Code Draws a 3D Torus Knot #10</t>
  </si>
  <si>
    <t>Watch how mathematical equations and code bring a hypnotic 3D Torus Knot to life
Pure geometry in motion!
Coded with parametric equations exploring 3D knot theory and computational geometry.
Equations:
r = R + r₀ cos(qφ), then x = r cos(pφ)
How to recreate it:
pick coprime winds p and q (classic pair: p = 2, q = 3), sample φ and project the tube onto the screen.
Next Episode:
The Lorenz At-tractor
Logic In Motion
Created by: @Unique_Sources
 #MathArt #CreativeCoding #Geometry #Python #3DArt #Shorts</t>
  </si>
  <si>
    <t>In This Video We Are Showing How Can Send A Raw UDP Datagrams To A Target Host On Spec Port Using Netcat(nc -u) Switch Case.</t>
  </si>
  <si>
    <t>Logic in Motion #11</t>
  </si>
  <si>
    <t>💻 Command:
nc -u 127.0.0.1 9999
📌 Tip: Make sure you pair this with an active UDP listener on the receiving side(e.g., nc -u -l 9999).
Subscribe to Unique Sources for quick Linux, networking &amp; cybersecurity tips!
#Netcat #Networking #LinuxTips #CyberSecurity #Shorts</t>
  </si>
  <si>
    <t>How 3 Lines of Math Draw Endless Chaos | Logic in Motion #11</t>
  </si>
  <si>
    <t>netcat, nc command, udp testing, send udp datagram netcat, netcat udp, linux networking, cybersecurity basics, nc -u, network engineering, linux terminal, sysadmin tips</t>
  </si>
  <si>
    <t>Visualizing mathematical beauty through code. In this episode of Logic in Motion, we explore The Lorenz Attractor, a chaotic butterfly, using the Lorenz system.
📐 The Math &amp; Logic:
• Concept: Deterministic chaos
• Key Formula / Rule: dx = σ(y − x)dt,  dy = (x(ρ − z) − y)dt,  dz = (xy − βz)dt
• Tools: JavaScript / Canvas
🔁 Logic in Motion Series:
• Watch the full playlist: https://youtube.com/playlist?list=PLMG4RCtlrh18&amp;si=jl8Cz_FDYUVfpHno
• Previous Episode: How Code Draws a 3D Torus Knot #10
• Next Episode: Why This Boundary Never Ends | Logic in Motion #12
#LogicInMotion #CreativeCoding #Python #GenerativeArt #MathArt #Short</t>
  </si>
  <si>
    <t>💻 Quick Cheat Sheet:
• Send UDP: nc -u 127.0.0.1 9999
• Listen(UDP): nc -u -l 9999
📌 Note: Always ensure your firewall or target port allows UDP traffic when testing!
What networking or Linux tool do you want a quick breakdown of next?
Let me know below! 👇</t>
  </si>
  <si>
    <t>Logic in Motion #12</t>
  </si>
  <si>
    <t>-sC runs nmap's DEFAULT NSE script set | One Flag, Instant Recon.</t>
  </si>
  <si>
    <t>Why This Boundary Never Ends | Logic in Motion #12</t>
  </si>
  <si>
    <t>-sC runs nmap's DEFAULT NSE script set | One Flag, Instant Recon.
Command:
  $ nmap -sC -p 22 127.0.0.1
What it does:
  Loads safe default scripts automatically
  Grabs banners, versions, service info
  Zero extra setup
Check Pined Commend for PRO TIP.
Next Episode: -O for OS detection.
#Nmap #NSE #CyberSecurity #EthicalHacking #KaliLinux #Shorts #InfoSec #Recon</t>
  </si>
  <si>
    <t>Visualizing mathematical beauty through code. In this episode of Logic in Motion, we explore The Mandelbrot Fractal, infinite complex boundaries, using the Mandelbrot set.
📐 The Math &amp; Logic:
• Concept: Complex quadratic iteration
• Key Formula / Rule: z → z² + c, colored by escape time
• Tools: JavaScript / Canvas
🔁 Logic in Motion Series:
• Watch the full playlist: https://youtube.com/playlist?list=PLMG4RCtlrh18&amp;si=jl8Cz_FDYUVfpHno
• Previous Episode: How 3 Lines of Math Draw Endless Chaos | Logic in Motion #11
• Next Episode: What If the Constant Never Changes | Logic in Motion #13
💻 Source Code &amp; Resources:
• Code repository / Gist: https://github.com/irAbs174/Logic_in_motion
#LogicInMotion #CreativeCoding #Python #GenerativeArt #MathArt #Short</t>
  </si>
  <si>
    <t>nmap, nmap -sC, nmap tutorial, NSE scripts, nmap default scripts, ethical hacking, cybersecurity shorts, kali linux, recon, port scanning, nmap flags, infosec, penetration testing, hacking tools, nmap commands</t>
  </si>
  <si>
    <t>Pro tip: -sC = --script=default.
Same things with less typing.</t>
  </si>
  <si>
    <t xml:space="preserve"> Episode 13: Julia Set
let zx = zx * zx - zy * zy + cr; let zy = 2 * zx_old * zy + ci;</t>
  </si>
  <si>
    <t>What If the Constant Never Changes? | Logic in Motion #13</t>
  </si>
  <si>
    <t>Visualizing mathematical beauty through code. In this episode of Logic in Motion, we explore The Julia Set, a fractal world where a single complex constant creates infinitely intricate boundaries.
📐 The Math &amp; Logic:
• Concept: Complex quadratic iteration
• Key Formula / Rule: z = z² + c
• Iteration: zx = zx² - zy² + cr
• zy = 2 * zx_old * zy + ci
• Tools: JavaScript / Canvas
🎬 Logic in Motion Series:
• Watch the full playlist: https://www.youtube.com/playlist?list=PLMG4RCtlrh18
• Previous Episode: Why This Boundary Never Ends | Logic in Motion #12
• Next Episode: The Epitrochoid Lattice #14
💻 Source Code &amp; Resources:
• Code repository / Gist: https://github.com/irAbs174/Logic_in_motion
#LogicInMotion #CreativeCoding #JavaScript #MathArt #Short</t>
  </si>
  <si>
    <t>Julia Set, Julia Set fractal, fractals, fractal art, creative coding, generative art, mathematical art, math art, complex numbers, complex plane, Mandelbrot, JavaScript, JavaScript canvas, coding art, generative design, algorithmic art, Logic in Motion, programming, mathematics, infinite patterns, #Shorts</t>
  </si>
  <si>
    <t>📌 One Constant, Infinite Complexity.
The Julia Set is one of those rare places where math &amp; art truly become inseparable.
One constant c, one simple rule z = z² + c and infinite universe unfolds.
🔍 Try it yourself:
Change the value of c just slightly &amp; watch the entire fractal transform. Some values create connected "lightning" shapes, others shatter into dust.
That boundary between order &amp; chaos is what makes Julia Sets so fascinating.
🗨️ Question for you:
What should we visualize next in Logic in Motion? Drop your ideas below! 👇
🔗 Links:
• Full playlist: https://www.youtube.com/playlist?list=PLMG4RCtlrh18
• Source code: https://github.com/irAbs174/Logic_in_motion
🔔 LIKE &amp; SUBSCRIBE helps more people discover the series. See you in the next episode!
#LogicInMotion #JavaScript #MathArt</t>
  </si>
  <si>
    <t>nc -u host port sends UDP datagrams to a peer.
Command: nc -u 127.0.0.1 9999
Tip: Pair with a UDP listener on the other side.
NEXT → Flag Cheat Sheet · nc -h
⚠️ Lab only: 127.0.0.1 / localhost / ::1
#Netcat #CyberSecurity #KaliLinux #EthicalHacking #InfoSec #YouTubeShorts</t>
  </si>
  <si>
    <t>The Epitrochoid Lattice</t>
  </si>
  <si>
    <t>Visualizing Mathematical Beauty Through Code.
In this episode of Logic in Motion we explore The Epitrochoid Lattice.
A hypnotic pattern born from a circle rolling around another circle, tracing curves that weave into infinite lattice structures.
📐 The Math and Logic:
• Concept: Epitrochoid curves &amp; parametric lattices
• Key Formula / Rule: x=(R + r)cos(θ) - d.cos((R + r) / r . θ) | y=(R + r)sin(θ) - d.sin((R + r) / r . θ)
• Lattice: multiple epitrochoids phase-shifted &amp; layered
• Tools: JavaScript / Canvas
🎬         Logic in Motion Series:
• Watch the full playlist: https://www.youtube.com/playlist?list=PLMG4RCtlrh18
• Previous Episode: What If the Constant Never Changes? | Logic in Motion #13
• Next Episode(soon): The Nephroid Web | Logic in Motion #15
💻 Source Code and Resources:
• Code repository / Gist: https://github.com/irAbs174/Logic_in_motion
🗨️🗨️ Question for you:
What should we visualize next in Logic in Motion? Drop your ideas below! 👇
🔗 Links:
• Full playlist: https://www.youtube.com/playlist?list=PLMG4RCtlrh18
• Source code: https://github.com/irAbs174/Logic_in_motion
♥️ LIKE + 🔔 SUBSCRIBE helps more people discover the series. See you in the next episode!
#LogicInMotion #CreativeCoding #JavaScript #MathArt #Short</t>
  </si>
  <si>
    <t>Guess the operating system?
$ nmap -O 127.0.0.1
TCP/IP fingerprinting treat as a lead.
Save for enum notes.
.
.
.
#Nmap #CyberSecurity #EthicalHacking #KaliLinux #InfoSec
#TechReels #LearnOnInstagram #TechTips #SecurityResearcher
#Recon #Homelab #PenetrationTesting</t>
  </si>
  <si>
    <t>Epitrochoid, epitrochoid lattice, spirograph, hypotrochoid, parametric curves, roulette curves, rolling circles, creative coding, generative art, mathematical art, math art, JavaScript, JavaScript canvas, coding art, generative design, algorithmic art, Logic in Motion, programming, mathematics, infinite patterns, geometry</t>
  </si>
  <si>
    <t>// 14</t>
  </si>
  <si>
    <t>The Nephroid Web(Two-Cusp Epicycloid) | Logic in Motion #15</t>
  </si>
  <si>
    <t>The Julia Set #13</t>
  </si>
  <si>
    <r>
      <rPr>
        <rFont val="Roboto, Arial, sans-serif"/>
        <color rgb="FF0F0F0F"/>
        <sz val="8.0"/>
      </rPr>
      <t xml:space="preserve">Visualizing Mathematical Beauty Through Code.
In this episode of Logic in Motion we explore The Nephroid Web.
A mesmerizing two-cusped epicycloid that traces a glowing, heart-like caustic curve.
Born from the path of a point on a smaller circle rolling around a larger fixed circle, this parametric beauty creates an elegant web of light.
📐 The Math and Logic:
• Concept: Nephroid curves &amp; Two-Cusp Epicycloid geometry
• Key Formula / Rule: x = a * (3 * cos(t) - cos(3 * t)) | y = a * (3 * sin(t) - sin(3 * t))
• Visualization: Glowing caustic reflections &amp; parametric scaling
• Tools: JavaScript / Canvas
🎬 Logic in Motion Series:
• Watch the full playlist: </t>
    </r>
    <r>
      <rPr>
        <rFont val="Roboto, Arial, sans-serif"/>
        <color rgb="FF1155CC"/>
        <sz val="8.0"/>
        <u/>
      </rPr>
      <t>https://www.youtube.com/playlist?list=PLMG4RCtlrh18</t>
    </r>
    <r>
      <rPr>
        <rFont val="Roboto, Arial, sans-serif"/>
        <color rgb="FF0F0F0F"/>
        <sz val="8.0"/>
      </rPr>
      <t xml:space="preserve">
• Previous Episode: The Epitrochoid Lattice | Logic in Motion #14
• Next Episode(soon): TBD | Logic in Motion #16
💻 Source Code and Resources:
• Code repository / Gist: https://github.com/irAbs174/Logic_in_motion
🗨️🗨️ Question for you:
What mathematical shape or curve should we visualize next in Logic in Motion? Drop your ideas below! 👇
🔗 Links:
• Full playlist: https://www.youtube.com/playlist?list=PLMG4RCtlrh18
• Source code: https://github.com/irAbs174/Logic_in_motion
♥️ LIKE + 🔔 SUBSCRIBE helps more people discover the series. See you in the next episode!
#LogicInMotion #CreativeCoding #JavaScript #MathArt #Short</t>
    </r>
  </si>
  <si>
    <t>Nephroid, two-cusp epicycloid, epicycloid, caustic curves, parametric curves, roulette curves, rolling circles, generative art, mathematical art, JavaScript canvas, coding art, generative design, algorithmic art, programming, mathematics, geometry, glowing curves, heart shape math</t>
  </si>
  <si>
    <t>Revisit -h | -l -v -n -w -u -z -k -p -6 -N.
Command: nc -h
Tip: Save the flag set then practice on localhost.
NEXT → Beginner Atlas · netcat flag flash cards
⚠️ Lab only: 127.0.0.1 / localhost / ::1
#Netcat #CyberSecurity #KaliLinux #EthicalHacking #InfoSec #YouTubeShorts</t>
  </si>
  <si>
    <t>-A bundles version, scripts, OS detect &amp; traceroute.
$ nmap -A -p 22 127.0.0.1
Next: UDP Scan(-sU).
#Nmap #CyberSecurity #KaliLinux #EthicalHacking #InfoSec #YouTubeShorts</t>
  </si>
  <si>
    <t>The Hypnotic Three Cusp Star | Logic in Motion #16</t>
  </si>
  <si>
    <t>Visualizing Mathematical Beauty Through Code.
In this episode of Logic in Motion we explore The Deltoid Star.
A sharp, elegant curve born from a circle rolling inside another circle, tracing a path that creates a mesmerizing three-cusped hypocycloid.
📐 The Math and Logic:
• Concept: Deltoid curve / Three-cusp hypocycloid
• Key Formula / Rule: x = a * (2 * cos(t) + cos(2 * t)) | y = a * (2 * sin(t) - sin(2 * t))
• Parameter: Scale (a) controls the overall size of the star
• Tools: JavaScript / Canvas
🎬 Logic in Motion Series:
• Watch the full playlist: https://www.youtube.com/playlist?list=PLMG4RCtlrh18
• Previous Episode: The Nephroid Web | Logic in Motion #15
• Next Episode(soon): [Next Episode Title] | Logic in Motion #17
💻 Source Code and Resources:
• Code repository / Gist: https://github.com/irAbs174/Logic_in_motion
🗨️🗨️ Question for you:
What mathematical curve should we bring to life next in Logic in Motion? Drop your ideas below! 👇
🔗 Links:
• Full playlist: https://www.youtube.com/playlist?list=PLMG4RCtlrh18
• Source code: https://github.com/irAbs174/Logic_in_motion
♥️ LIKE + 🔔 SUBSCRIBE helps more people discover the series. See you in the next episode!
#LogicInMotion #CreativeCoding #JavaScript #MathArt #Short</t>
  </si>
  <si>
    <t xml:space="preserve">Deltoid, deltoid curve, three-cusp hypocycloid, deltoid star, hypocycloid, roulette curves, parametric curves, parametric equations, creative coding, generative art, mathematical art, math art, JavaScript, JavaScript canvas, coding art, generative design, algorithmic art, Logic in Motion, programming, mathematics, geometry, visualization
</t>
  </si>
  <si>
    <t>//15</t>
  </si>
  <si>
    <t>The Epitrochoid Lattice #14</t>
  </si>
  <si>
    <t>The Lemniscate of Bernoulli</t>
  </si>
  <si>
    <t>nc Extra Verbose(-vv)| Ep.21
DESCRIPTION:
-vv doubles verbosity more connect diagnostics.
Command: nc -vv 127.0.0.1 22
Tip: Stack -v when one level is not enough detail.
NEXT → Line Interval(-i) nc -i 1 127.0.0.1 9999
⚠️ Lab only: 127.0.0.1 / localhost / ::1
#Netcat #CyberSecurity #KaliLinux #EthicalHacking #InfoSec #YouTubeShorts</t>
  </si>
  <si>
    <t>Logic in Motion #18</t>
  </si>
  <si>
    <t>The Archimedean Spiral</t>
  </si>
  <si>
    <t>-sU probes UDP. Results are slower &amp; often ambiguous.
$ nmap -sU -p 53 127.0.0.1
Next: ACK Scan(-sA).
#Nmap #CyberSecurity #KaliLinux #EthicalHacking #InfoSec #YouTubeShorts</t>
  </si>
  <si>
    <t>Logic in Motion #19</t>
  </si>
  <si>
    <t>The Hyperbolic Spiral</t>
  </si>
  <si>
    <t>//16</t>
  </si>
  <si>
    <t>The Nephroid Web #15</t>
  </si>
  <si>
    <t>Logic in Motion #20</t>
  </si>
  <si>
    <t>The Ceva &amp; Pascal Conics</t>
  </si>
  <si>
    <t>-i delays seconds between lines sent or ports probed.
Command: nc -i 1 127.0.0.1 9999
Tip: Slow the pace when labs need readable timing.
NEXT → Quit After EOF(-q) nc -q 1 127.0.0.1 9999
⚠️ Lab only: 127.0.0.1 / localhost / ::1
#Netcat #CyberSecurity #KaliLinux #EthicalHacking #InfoSec #YouTubeShorts</t>
  </si>
  <si>
    <t>Logic in Motion #21</t>
  </si>
  <si>
    <t>The Aizawa Attractor</t>
  </si>
  <si>
    <t>Logic in Motion #22</t>
  </si>
  <si>
    <t>The Clifford Torus Attractor</t>
  </si>
  <si>
    <t>Logic in Motion #23</t>
  </si>
  <si>
    <t>The De Jong Attractor</t>
  </si>
  <si>
    <t>Logic in Motion #24</t>
  </si>
  <si>
    <t>The Thomas Cyclical Attractor</t>
  </si>
  <si>
    <t>Logic in Motion #25</t>
  </si>
  <si>
    <t>The Halley Fractal</t>
  </si>
  <si>
    <t>Logic in Motion #26</t>
  </si>
  <si>
    <t>The Newton Fractal</t>
  </si>
  <si>
    <t>Logic in Motion #27</t>
  </si>
  <si>
    <t>The Apollonian Gasket</t>
  </si>
  <si>
    <t>Logic in Motion #28</t>
  </si>
  <si>
    <t>The Penrose Tiling</t>
  </si>
  <si>
    <t>Logic in Motion #29</t>
  </si>
  <si>
    <t>The Navier-Stokes Vortex</t>
  </si>
  <si>
    <t>Logic in Motion #30</t>
  </si>
  <si>
    <t>The Grand Unified Quantum Lattice</t>
  </si>
  <si>
    <t>Logic in Motion #31</t>
  </si>
  <si>
    <t>The Bloch Sphere</t>
  </si>
  <si>
    <t>Logic in Motion #32</t>
  </si>
  <si>
    <t>The Schrödinger Wavepacket</t>
  </si>
  <si>
    <t>Logic in Motion #33</t>
  </si>
  <si>
    <t>Quantum Entanglement Matrix</t>
  </si>
  <si>
    <t>Logic in Motion #34</t>
  </si>
  <si>
    <t>The Quantum Harmonic Oscillator</t>
  </si>
  <si>
    <t>https://youtube.com/shorts/MNv4mQyShs0?feature=share</t>
  </si>
  <si>
    <t>Logic in Motion #35</t>
  </si>
  <si>
    <t>Quantum Tunneling Potential Well</t>
  </si>
  <si>
    <t>https://youtube.com/shorts/7C66YE9PwQM?feature=share</t>
  </si>
  <si>
    <t>Logic in Motion #36</t>
  </si>
  <si>
    <t>The Sacred Metatron’s Cube</t>
  </si>
  <si>
    <t>https://youtube.com/shorts/kLmTsPdsRSU?feature=share</t>
  </si>
  <si>
    <t>Logic in Motion #37</t>
  </si>
  <si>
    <t>https://youtube.com/shorts/6ZUkEnDncUU?feature=share</t>
  </si>
  <si>
    <t>The Flower of Life</t>
  </si>
  <si>
    <t>Logic in Motion #38</t>
  </si>
  <si>
    <t>https://youtube.com/shorts/u9zck7Fm9Ng?feature=share</t>
  </si>
  <si>
    <t>The Sri Yantra</t>
  </si>
  <si>
    <t>https://youtube.com/shorts/pCc4TenE08U?feature=share</t>
  </si>
  <si>
    <t>Logic in Motion #39</t>
  </si>
  <si>
    <t>The Penrose Quasicrystal Lattice</t>
  </si>
  <si>
    <t>https://youtube.com/shorts/E19Ii_j1EQo?feature=share</t>
  </si>
  <si>
    <t>Logic in Motion #40</t>
  </si>
  <si>
    <t>The Hyperdimensional Hypersphere</t>
  </si>
  <si>
    <t>https://youtube.com/shorts/Dem7wt7cleU?feature=share</t>
  </si>
  <si>
    <t>Logic in Motion #41</t>
  </si>
  <si>
    <t>The Zero-Point Vacuum</t>
  </si>
  <si>
    <t>https://youtube.com/shorts/FAPqpxwU_JE?feature=share</t>
  </si>
  <si>
    <t>Logic in Motion #42</t>
  </si>
  <si>
    <t>The Entropy Equilibrium</t>
  </si>
  <si>
    <t>https://youtube.com/shorts/Wmx5dE9xW-I?feature=share</t>
  </si>
  <si>
    <t>Logic in Motion #43</t>
  </si>
  <si>
    <t>The Null Geodesic</t>
  </si>
  <si>
    <t>https://youtube.com/shorts/3HlNFVccPuE?feature=share</t>
  </si>
  <si>
    <t>Logic in Motion #44</t>
  </si>
  <si>
    <t>The Silent Monopole</t>
  </si>
  <si>
    <t>https://youtube.com/shorts/YvO-aZSFUxw?feature=share</t>
  </si>
  <si>
    <t>Logic in Motion #45</t>
  </si>
  <si>
    <t>The Event Horizon</t>
  </si>
  <si>
    <t>https://youtube.com/shorts/c3b_6O30-8w?feature=share</t>
  </si>
  <si>
    <t>Logic in Motion #46</t>
  </si>
  <si>
    <t>The Vacuum Fluctuation</t>
  </si>
  <si>
    <t>https://youtube.com/shorts/83n2A45pbJY?feature=share</t>
  </si>
  <si>
    <t>Logic in Motion #47</t>
  </si>
  <si>
    <t>The Zen Master Equation</t>
  </si>
  <si>
    <t>Logic in Motion #48</t>
  </si>
  <si>
    <t>The CMB Whisper</t>
  </si>
  <si>
    <t>https://youtube.com/shorts/Wdds_Drm374?feature=share</t>
  </si>
  <si>
    <t>Logic in Motion #49</t>
  </si>
  <si>
    <t>The Tao of Zero</t>
  </si>
  <si>
    <t>Logic in Motion #50</t>
  </si>
  <si>
    <t>The Grand Silence</t>
  </si>
  <si>
    <t>https://youtube.com/shorts/c7xk2lppJkQ?feature=share</t>
  </si>
  <si>
    <t>Logic in Motion #51</t>
  </si>
  <si>
    <t>The Calabi-Yau Manifold</t>
  </si>
  <si>
    <t>https://youtube.com/shorts/8TnrxZTbEyc?feature=share</t>
  </si>
  <si>
    <t>https://youtube.com/shorts/5RUf8OhXjPU?feature=share</t>
  </si>
  <si>
    <t>Logic in Motion #52</t>
  </si>
  <si>
    <t>The Poincaré Disk</t>
  </si>
  <si>
    <t>https://youtube.com/shorts/JFSlGl0wJow?feature=share</t>
  </si>
  <si>
    <t>Logic in Motion #53</t>
  </si>
  <si>
    <t>The Ryu-Takayanagi Surface</t>
  </si>
  <si>
    <t>https://youtube.com/shorts/IqxxlLGYbN4?feature=share</t>
  </si>
  <si>
    <t>Logic in Motion #54</t>
  </si>
  <si>
    <t>The Hopf Fibration</t>
  </si>
  <si>
    <t>Logic in Motion #55</t>
  </si>
  <si>
    <t>The Quantum Foam</t>
  </si>
  <si>
    <t>Logic in Motion #56</t>
  </si>
  <si>
    <t>The Penrose Diagram</t>
  </si>
  <si>
    <t>Logic in Motion #57</t>
  </si>
  <si>
    <t>The Klein Bottle</t>
  </si>
  <si>
    <t>Logic in Motion #58</t>
  </si>
  <si>
    <t>The Borromean Rings</t>
  </si>
  <si>
    <t>Logic in Motion #59</t>
  </si>
  <si>
    <t>The Mandelbulb Fractal</t>
  </si>
  <si>
    <t>Logic in Motion #60</t>
  </si>
  <si>
    <t>The Omniverse Nexus</t>
  </si>
  <si>
    <t>NETCAT Mastery — From Zero to Security Researcher #0</t>
  </si>
  <si>
    <t>NETCAT Mastery — COMING SOON (30s)</t>
  </si>
  <si>
    <t>NETCAT Mastery is loading ⚡
A new Shorts series — one netcat flag per episode. Terminal-first. No fluff.
What you'll see in this teaser:
• Glass terminal on a matrix background — Kali-style lab vibe
• Zero-I/O probe typed at human pace: nc -zv 127.0.0.1 22
• Listen · transfer · UDP demos teased in the output scroll
• COMING SOON glitch card → first episode drops next
NEXT EPISODE → Install Check (nc -h)
The real series starts simple: prove the tool exists, then connect.
Series tagline: Step by step until becoming a security researcher.
Every future Short covers ONE idea:
-h · connect · -v · -l · -lv · -n · -w · chat · transfer · -u · -z · -k · -p · banners · -6 · -N
⚠️ Lab ethics: only use targets you own or have permission to test.
Practice targets: 127.0.0.1 · localhost · ::1
No reverse/bind shells in this series.
Turn on notifications so you don't miss ep.01.
SHARE · SUBSCRIBE · @Unique_Sources
#Netcat #CyberSecurity #KaliLinux #EthicalHacking #InfoSec
#Networking #YouTubeShorts #ComingSoon #SecurityResearcher #Linux
#TechEducation #CommandLine #Homelab #TCP #UDP</t>
  </si>
  <si>
    <t>NETCAT Mastery — From Zero to Security Researcher #1</t>
  </si>
  <si>
    <t>EPISODE SOCIAL PASTE PACK — Ep.01 Install Check</t>
  </si>
  <si>
    <t>Confirm netcat is installed — skim the flag list.
Command:
nc -h
Check the tool before you connect.
NEXT → First Connect
nc 127.0.0.1 22
Series: NETCAT Mastery · step by step until becoming a security researcher
Lab ethics: authorized targets only. No shells in this series.
#Netcat #CyberSecurity #KaliLinux #EthicalHacking #InfoSec #YouTubeShorts
#Networking #Linux #CommandLine #SecurityResearcher #Homelab</t>
  </si>
  <si>
    <t>NETCAT Mastery — From Zero to Security Researcher #2</t>
  </si>
  <si>
    <t>EPISODE SOCIAL PASTE PACK — Ep.02 First Connect</t>
  </si>
  <si>
    <t>nc host port opens a TCP client to that service.
Command:
nc 127.0.0.1 22
Start on localhost — safe, fast, always authorized.
NEXT → Verbose (-v)
nc -v 127.0.0.1 22
Series: NETCAT Mastery · step by step until becoming a security researcher
Lab ethics: authorized targets only. No shells in this series.
#Netcat #CyberSecurity #KaliLinux #EthicalHacking #InfoSec #YouTubeShorts
#Networking #Linux #CommandLine #SecurityResearcher #Homelab</t>
  </si>
  <si>
    <t>NETCAT Mastery — From Zero to Security Researcher #3</t>
  </si>
  <si>
    <t>nc -v 127.0.0.1 22 — Verbose Connect (-v) | Ep.3</t>
  </si>
  <si>
    <t>-v prints connection status so you see succeed/fail.
Command:
nc -v 127.0.0.1 22
Turn on -v when learning what nc is doing.
NEXT → Listen
nc -l 9999
Series: NETCAT Mastery · step by step until becoming a security researcher
Lab ethics: authorized targets only. No shells in this series.
#Netcat #CyberSecurity #KaliLinux #EthicalHacking #InfoSec #YouTubeShorts
#Networking #Linux #CommandLine #SecurityResearcher #Homelab</t>
  </si>
  <si>
    <t>NETCAT Mastery — From Zero to Security Researcher #4</t>
  </si>
  <si>
    <t>nc -l 9999 — Listen | Ep.4</t>
  </si>
  <si>
    <t>nc -l 9999 — Listen | Ep.4
-l waits for an inbound TCP connection on a port.
Command:
nc -l 9999
One side listens — the other connects.
NEXT → Listen Verbose
nc -lv 9999
Series: NETCAT Mastery · step by step until becoming a security researcher
Lab ethics: authorized targets only. No shells in this series.
#Netcat #CyberSecurity #KaliLinux #EthicalHacking #InfoSec #YouTubeShorts
#Networking #Linux #CommandLine #SecurityResearcher #Homelab</t>
  </si>
  <si>
    <t>NETCAT Mastery — From Zero to Security Researcher #5</t>
  </si>
  <si>
    <t>nc -lv 9999 — What Does It Do? | Ep.5</t>
  </si>
  <si>
    <t>-lv listens and reports when a peer connects.
Command:
nc -lv 9999
Use -v on listeners to confirm the handshake.
NEXT → No DNS (-n)
nc -n 127.0.0.1 22
Series: NETCAT Mastery · step by step until becoming a security researcher
Lab ethics: authorized targets only. No shells in this series.
#Netcat #CyberSecurity #KaliLinux #EthicalHacking #InfoSec #YouTubeShorts
#Networking #Linux #CommandLine #SecurityResearcher #Homelab</t>
  </si>
  <si>
    <t>Netcat -n Flag = Faster Scans(Skip DNS) #6</t>
  </si>
  <si>
    <t>Add -n when DNS is slow or unnecessary.
-n Skips Name Lookups, Numeric hosts Only.
💻 Command:
nc -n 127.0.0.1 22
👁️👁️ Next Episode:
nc -w 2 127.0.0.1 9999 | Timeout(-w) #7
🎬 Series:
NETCAT Mastery, step by step until becoming a security researcher
⚠️ Lab Ethics: Authorized targets only.
🔔  @Unique_Sources  
#Netcat #CyberSecurity #KaliLinux #EthicalHacking #InfoSec #YouTubeShorts
#Networking #Linux #CommandLine #SecurityResearcher #Homelab</t>
  </si>
  <si>
    <t xml:space="preserve">📌 PINNED COMMENT:
-n = no DNS · -w = timeout ⏱️
Full series: Netcat Mastery → becoming a security researcher 🧠
Lab safely. Authorized targets only. 🔒
</t>
  </si>
  <si>
    <t>NETCAT Mastery — From Zero to Security Researcher #7</t>
  </si>
  <si>
    <t>nc -w 2 127.0.0.1 9999 — Timeout (-w) | Ep.7</t>
  </si>
  <si>
    <t>-w sets connect/idle timeout in seconds.
Command:
nc -w 2 127.0.0.1 9999
Avoid hanging forever on dead ports.
NEXT → Send a Line
printf 'hello\n' | nc 127.0.0.1 9999
Series: NETCAT Mastery · step by step until becoming a security researcher
Lab ethics: authorized targets only. No shells in this series.
#Netcat #CyberSecurity #KaliLinux #EthicalHacking #InfoSec #YouTubeShorts
#Networking #Linux #CommandLine #SecurityResearcher #Homelab</t>
  </si>
  <si>
    <t>Netcat Trick: Send a Message With One Line #8</t>
  </si>
  <si>
    <t xml:space="preserve">Pipe text into nc to send one message over TCP.
Command:
printf 'hello\n' | nc 127.0.0.1 9999
Chat is just stdin over a socket.
Next Episode: Receive File
nc -l 9999 &gt; recv.txt
Series: NETCAT Mastery, step by step until becoming a security researcher
Lab Ethics: Authorized targets only. No shells in this series.
#Netcat #CyberSecurity #KaliLinux #EthicalHacking #InfoSec #YouTubeShorts
#Networking #Linux #CommandLine #SecurityResearcher #Homelab
</t>
  </si>
  <si>
    <t>printf 'hello\n' | nc 127.0.0.1 9999 💬
Chat is just stdin over a socket.
Next: nc -l 9999 &gt; recv.txt 📥
Lab safely. Authorized targets only. 🔒</t>
  </si>
  <si>
    <t>NETCAT Mastery — From Zero to Security Researcher #9</t>
  </si>
  <si>
    <t>nc -l 9999 recv.txt — Receive a File | Ep.9</t>
  </si>
  <si>
    <t>Redirect listener stdout to save bytes to a file.
Command:
nc -l 9999 recv.txt
Receiver listens and writes — sender pushes data.
NEXT → Send File
nc 127.0.0.1 9999 send.txt
Series: NETCAT Mastery · step by step until becoming a security researcher
Lab ethics: authorized targets only. No shells in this series.
#Netcat #CyberSecurity #KaliLinux #EthicalHacking #InfoSec #YouTubeShorts
#Networking #Linux #CommandLine #SecurityResearcher #Homelab</t>
  </si>
  <si>
    <t>NETCAT Mastery — From Zero to Security Researcher #10</t>
  </si>
  <si>
    <t>nc 127.0.0.1 9999  send.txt — Send File | Ep.10</t>
  </si>
  <si>
    <t>Redirect a file into nc to push it to the listener.
Command:
nc 127.0.0.1 9999  send.txt
Sender connects and streams — keep labs authorized.
NEXT → UDP Listen (-u)
nc -u -l 9999
Series: NETCAT Mastery · step by step until becoming a security researcher
Lab ethics: authorized targets only. No shells in this series.
#Netcat #CyberSecurity #KaliLinux #EthicalHacking #InfoSec #YouTubeShorts
#Networking #Linux #CommandLine #SecurityResearcher #Homelab</t>
  </si>
  <si>
    <t>NETCAT Mastery — From Zero to Security Researcher #11</t>
  </si>
  <si>
    <t>nc -u -l 9999 — UDP Listen (-u) | Ep.11</t>
  </si>
  <si>
    <t>-u switches netcat to UDP instead of TCP.
Command:
nc -u -l 9999
UDP has no handshake — great for datagram labs.
NEXT → Zero-I/O (-z)
nc -zv 127.0.0.1 22
Series: NETCAT Mastery · step by step until becoming a security researcher
Lab ethics: authorized targets only. No shells in this series.
#Netcat #CyberSecurity #KaliLinux #EthicalHacking #InfoSec #YouTubeShorts
#Networking #Linux #CommandLine #SecurityResearcher #Homelab</t>
  </si>
  <si>
    <t>NETCAT Mastery — From Zero to Security Researcher #12</t>
  </si>
  <si>
    <t>nc -zv 127.0.0.1 22 — Zero-I/O Probe (-z) | Ep.12</t>
  </si>
  <si>
    <t>-z probes without sending payload — port open check.
Command:
nc -zv 127.0.0.1 22
Fast lab probe — not a full service fingerprint.
NEXT → Keep Open (-k)
nc -k -l 9999
Series: NETCAT Mastery · step by step until becoming a security researcher
Lab ethics: authorized targets only. No shells in this series.
#Netcat #CyberSecurity #KaliLinux #EthicalHacking #InfoSec #YouTubeShorts
#Networking #Linux #CommandLine #SecurityResearcher #Homelab</t>
  </si>
  <si>
    <t>NETCAT Mastery — From Zero to Security Researcher #13</t>
  </si>
  <si>
    <t>nc -k -l 9999 | Keep Open(-k) #13</t>
  </si>
  <si>
    <t>-k keeps listening after a client disconnects.
💻 Command:
nc -k -l 9999
Useful for repeated lab connects on one port.
👁️👁️ Next Episode:
How to Force Netcat to Use a Specific Source Port(-p) #14
🎬 Series: NETCAT Mastery | step by step until becoming a security researcher.
⚠️ Lab ethics: Authorized targets only. No shells in this series.
#Netcat #CyberSecurity #KaliLinux #EthicalHacking #InfoSec #YouTubeShorts
#Networking #Linux #CommandLine #SecurityResearcher #Homelab</t>
  </si>
  <si>
    <t>NETCAT Mastery — From Zero to Security Researcher #14</t>
  </si>
  <si>
    <t>How to Force Netcat to Use a Specific Source Port(-p) #14</t>
  </si>
  <si>
    <t>NETCAT Mastery — From Zero to Security Researcher #15</t>
  </si>
  <si>
    <t>How to Read Raw HTTP Responses with Netcat #15</t>
  </si>
  <si>
    <t>Learn how to pipe a raw HTTP request directly through Netcat (nc) to grab and inspect web server banners in the terminal.
💻 Command:
printf 'GET / HTTP/1.0\r\n\r\n' | nc 127.0.0.1 80
💡 Key Takeaway:
Talking to protocols manually is one of the best ways to understand how raw networking and headers work under the hood.
▶️ NEXT UP:
Port Range Scanning · nc -zv 127.0.0.1 20-25
⚠️ Lab Environment:
Strictly tested on local loopback (127.0.0.1 / localhost / ::1) for educational and lab purposes only.
#Netcat #CyberSecurity #KaliLinux #EthicalHacking #Networking #Linux #YouTubeShorts</t>
  </si>
  <si>
    <t>NETCAT Mastery — From Zero to Security Researcher #16</t>
  </si>
  <si>
    <t>How to Scan Multiple Ports in Seconds with Netcat #16</t>
  </si>
  <si>
    <t>Need to check multiple ports quickly without sending data?
The -z flag paired with a port range lets you probe sequential ports in seconds.
💻 Command:
nc -zv 127.0.0.1 20-25
📌 Flag Breakdown:
1. -z : Zero-I/O mode (scans without sending payload)
2. -v : Verbose output (shows connection status)
3. 20-25 : Target port range
⚠️ Ethical Reminder:
Keep ranges small and always test against authorized targets / local lab environments only.
NEXT Episode:
IPv6 (-6) · nc -6 ::1 22
🔔 Subscribe:
 @Unique_Sources  
#Netcat #CyberSecurity #KaliLinux #EthicalHacking #LinuxCommands #InfoSec #Shorts</t>
  </si>
  <si>
    <t>NETCAT Mastery — From Zero to Security Researcher #17</t>
  </si>
  <si>
    <t>Stop Ignoring IPv6: Practice Loopback Testing with Netcat #17</t>
  </si>
  <si>
    <t>Learn how to force IPv6 connections using Netcat (`nc -6`) for safe local testing and lab environments. 
In this episode, we cover using the IPv6 loopback address (`::1`) to test local services before touching actual lab networks or remote ranges.
Command:
nc -6 ::1 22
💡 Pro Tip:
Always practice IPv6 syntax on `::1` locally to get comfortable with syntax and behavior before deploying tests against broader ranges.
Next episode:
EOF Shutdown( -N)
⚠️ Disclaimer:
Educational purposesonly.
🔔 Subscribe:
 @Unique_Sources ​</t>
  </si>
  <si>
    <t>NETCAT Mastery — From Zero to Security Researcher #18</t>
  </si>
  <si>
    <t>Stop Netcat Hanging on File Transfers(-N Flag) #18</t>
  </si>
  <si>
    <t>The -N flag shuts down the network socket immediately after reaching EOF on standard input.
Clean socket termination prevents hanging connections during file pushes and automated scripts.
Command:
nc -N 127.0.0.1 9999
Next episode:
UDP Send with Netcat
🔔 Subscribe:
@Unique_Sources  
#Netcat #CyberSecurity #KaliLinux #EthicalHacking #InfoSec #YouTubeShorts #Linux</t>
  </si>
  <si>
    <t>Learn To Send UDP Datagram with NC | Netcat Mastery #19</t>
  </si>
  <si>
    <t>In This Video We Are Showing How Can Send A Raw UDP Datagrams To A Target Host On Spec Port Using Netcat(nc -u) Switch.
💻 Command:
nc -u 127.0.0.1 9999
📌 Tip: Make sure you pair this with an active UDP listener on the receiving side(e.g., nc -u -l 9999).
Next Episode:
Fast Review | From Episode 1 to 20
Subscribe to Unique Sources for quick Linux, networking &amp; cybersecurity tips!
#Netcat #Networking #LinuxTips #CyberSecurity #Shorts</t>
  </si>
  <si>
    <t>Netcat Fast Review | 19 Commands You Must Know #20</t>
  </si>
  <si>
    <t>In This Video We Are Showing All First 19 Episode Of Netcat Mastery Collection In One Fast Review.
💻 Commands:
  01. Install check: nc -h
  02. First connect: nc 127.0.0.1 22
  03. Verbose feedback: nc -v 127.0.0.1 22
  04. Listen mode: nc -l 9999
  05. Verbose listener: nc -lv 9999
  06. Skip DNS: nc -n 127.0.0.1 22
  07. Timeout dead ports: nc -w 2 127.0.0.1 9999
  08. Send a line: printf 'hello\n' | nc 127.0.0.1 9999
  09. Receive file: nc -l 9999 &gt; recv.txt
  10. Send file: nc 127.0.0.1 9999 &lt; send.txt
  11. UDP listen: nc -u -l 9999
  12. Zero-I/O probe: nc -zv 127.0.0.1 22
  13. Keep listener open: nc -k -l 9999
  14. Bind source port: nc -p 4444 127.0.0.1 22
  15. HTTP banner grab: printf 'GET / HTTP/1.0\r\n\r\n' | nc 127.0.0.1 80
  16. Probe port range: nc -zv 127.0.0.1 20-25
  17. Force IPv6: nc -6 ::1 22
  18. Shutdown on EOF: nc -N 127.0.0.1 9999
  19. Send raw UDP: nc -u 127.0.0.1 9999
⏭️ Next Episode: Extra Verbose(-vv)
🔔 Subscribe:
@Unique_Sources
#Netcat #Nc #Networking #LinuxTips #CyberSecurity #EthicalHacking #CheatSheet</t>
  </si>
  <si>
    <t>netcat, nc, netcat tutorial, netcat commands, netcat cheat sheet, nc command, netcat mastery, netcat for beginners, netcat linux, netcat udp, netcat tcp, linux networking, linux commands, cybersecurity, ethical hacking, kali linux, penetration testing, networking tutorial, cyber security tips, linux tips, shorts, netcat shorts, linux shorts, hacking shorts, unique sources</t>
  </si>
  <si>
    <t>NETCAT Mastery — From Zero to Security Researcher #21</t>
  </si>
  <si>
    <t>Extra Verbose(-vv)</t>
  </si>
  <si>
    <t>NETCAT Mastery — From Zero to Security Researcher #22</t>
  </si>
  <si>
    <t>Line Interval(-i)</t>
  </si>
  <si>
    <t>NETCAT Mastery — From Zero to Security Researcher #23</t>
  </si>
  <si>
    <t>Quit After EOF(-q)</t>
  </si>
  <si>
    <t>NETCAT Mastery — From Zero to Security Researcher #24</t>
  </si>
  <si>
    <t>Send CRLF(-C)</t>
  </si>
  <si>
    <t>NETCAT Mastery — From Zero to Security Researcher #25</t>
  </si>
  <si>
    <t>Hex Dump(-o)</t>
  </si>
  <si>
    <t>NETCAT Mastery — From Zero to Security Researcher #26</t>
  </si>
  <si>
    <t>Randomize Ports(-r)</t>
  </si>
  <si>
    <t>NETCAT Mastery — From Zero to Security Researcher #27</t>
  </si>
  <si>
    <t>Source Address(-s)</t>
  </si>
  <si>
    <t>NETCAT Mastery — From Zero to Security Researcher #28</t>
  </si>
  <si>
    <t>TELNET Negotiate(-t)</t>
  </si>
  <si>
    <t>NETCAT Mastery — From Zero to Security Researcher #29</t>
  </si>
  <si>
    <t>Broadcast UDP(-b)</t>
  </si>
  <si>
    <t>NETCAT Mastery — From Zero to Security Researcher #30</t>
  </si>
  <si>
    <t>NETCAT Mastery — From Zero to Security Researcher #31</t>
  </si>
  <si>
    <t>SSH Banner</t>
  </si>
  <si>
    <t>NETCAT Mastery — From Zero to Security Researcher #32</t>
  </si>
  <si>
    <t>Multi-Port Probe</t>
  </si>
  <si>
    <t>NETCAT Mastery — From Zero to Security Researcher #33</t>
  </si>
  <si>
    <t>Type of Service(-T)</t>
  </si>
  <si>
    <t>NETCAT Mastery — From Zero to Security Researcher #34</t>
  </si>
  <si>
    <t>Numeric Listen(-lvn)</t>
  </si>
  <si>
    <t>NETCAT Mastery — From Zero to Security Researcher #35</t>
  </si>
  <si>
    <t>EP.35 — Fast Fail(-zw)</t>
  </si>
  <si>
    <t>NETCAT Mastery — From Zero to Security Researcher #36</t>
  </si>
  <si>
    <t>EP.36 — Listener vs Client</t>
  </si>
  <si>
    <t>NETCAT Mastery — From Zero to Security Researcher #37</t>
  </si>
  <si>
    <t>UDP vs TCP</t>
  </si>
  <si>
    <t>NETCAT Mastery — From Zero to Security Researcher #38</t>
  </si>
  <si>
    <t>Lab Ethics</t>
  </si>
  <si>
    <t>NETCAT Mastery — From Zero to Security Researcher #39</t>
  </si>
  <si>
    <t>No Shells Here</t>
  </si>
  <si>
    <t>NETCAT Mastery — From Zero to Security Researcher #40</t>
  </si>
  <si>
    <t>Mastery Recap</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</si>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</sst>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3">
    <font>
      <sz val="10.0"/>
      <color rgb="FF000000"/>
      <name val="Arial"/>
      <scheme val="minor"/>
    </font>
    <font>
      <color theme="1"/>
      <name val="Arial"/>
      <scheme val="minor"/>
    </font>
    <font>
      <b/>
      <sz val="8.0"/>
      <color theme="1"/>
      <name val="Vazirmatn"/>
    </font>
    <font>
      <sz val="13.0"/>
      <color theme="1"/>
      <name val="Arial"/>
      <scheme val="minor"/>
    </font>
    <font>
      <b/>
      <color theme="1"/>
      <name val="Arial"/>
      <scheme val="minor"/>
    </font>
    <font>
      <b/>
      <sz val="11.0"/>
      <color theme="1"/>
      <name val="Calibri"/>
    </font>
    <font/>
    <font>
      <sz val="6.0"/>
      <color theme="1"/>
      <name val="Vazirmatn"/>
    </font>
    <font>
      <sz val="9.0"/>
      <color theme="1"/>
      <name val="Vazirmatn"/>
    </font>
    <font>
      <sz val="6.0"/>
      <color theme="1"/>
      <name val="Arial"/>
      <scheme val="minor"/>
    </font>
    <font>
      <b/>
      <sz val="11.0"/>
      <color theme="1"/>
      <name val="Arial"/>
      <scheme val="minor"/>
    </font>
    <font>
      <b/>
      <sz val="10.0"/>
      <color theme="1"/>
      <name val="Arial"/>
      <scheme val="minor"/>
    </font>
    <font>
      <b/>
      <sz val="9.0"/>
      <color theme="1"/>
      <name val="Arial"/>
      <scheme val="minor"/>
    </font>
    <font>
      <sz val="11.0"/>
      <color rgb="FF434343"/>
      <name val="Calibri"/>
    </font>
    <font>
      <u/>
      <color rgb="FF0000FF"/>
      <name val="Roboto"/>
    </font>
    <font>
      <sz val="9.0"/>
      <color rgb="FF0F0F0F"/>
      <name val="Roboto"/>
    </font>
    <font>
      <sz val="9.0"/>
      <color theme="1"/>
      <name val="Arial"/>
      <scheme val="minor"/>
    </font>
    <font>
      <sz val="8.0"/>
      <color rgb="FF0F0F0F"/>
      <name val="Roboto"/>
    </font>
    <font>
      <sz val="7.0"/>
      <color rgb="FF0F0F0F"/>
      <name val="Roboto"/>
    </font>
    <font>
      <sz val="7.0"/>
      <color rgb="FF434343"/>
      <name val="Calibri"/>
    </font>
    <font>
      <u/>
      <color rgb="FF0000FF"/>
      <name val="Roboto"/>
    </font>
    <font>
      <b/>
      <color rgb="FFFFFFFF"/>
      <name val="Arial"/>
      <scheme val="minor"/>
    </font>
    <font>
      <sz val="9.0"/>
      <color rgb="FF434343"/>
      <name val="Vazirmatn"/>
    </font>
    <font>
      <sz val="9.0"/>
      <color rgb="FFE5CFF2"/>
      <name val="Vazirmatn"/>
    </font>
    <font>
      <color theme="1"/>
      <name val="Vazirmatn"/>
    </font>
    <font>
      <sz val="24.0"/>
      <color theme="1"/>
      <name val="Arial"/>
      <scheme val="minor"/>
    </font>
    <font>
      <u/>
      <color rgb="FF0000FF"/>
      <name val="Roboto"/>
    </font>
    <font>
      <u/>
      <sz val="5.0"/>
      <color rgb="FF0000FF"/>
      <name val="Roboto"/>
    </font>
    <font>
      <sz val="10.0"/>
      <color rgb="FF0F0F0F"/>
      <name val="Roboto"/>
    </font>
    <font>
      <sz val="11.0"/>
      <color theme="1"/>
      <name val="Calibri"/>
    </font>
    <font>
      <sz val="11.0"/>
      <color rgb="FF0F0F0F"/>
      <name val="Roboto"/>
    </font>
    <font>
      <u/>
      <sz val="8.0"/>
      <color rgb="FF0F0F0F"/>
      <name val="Roboto"/>
    </font>
    <font>
      <u/>
      <sz val="9.0"/>
      <color rgb="FF0000FF"/>
      <name val="Vazirmatn"/>
    </font>
  </fonts>
  <fills count="6">
    <fill>
      <patternFill patternType="none"/>
    </fill>
    <fill>
      <patternFill patternType="lightGray"/>
    </fill>
    <fill>
      <patternFill patternType="solid">
        <fgColor rgb="FFFFFFFF"/>
        <bgColor rgb="FFFFFFFF"/>
      </patternFill>
    </fill>
    <fill>
      <patternFill patternType="solid">
        <fgColor rgb="FF073763"/>
        <bgColor rgb="FF073763"/>
      </patternFill>
    </fill>
    <fill>
      <patternFill patternType="solid">
        <fgColor rgb="FFF6F8F9"/>
        <bgColor rgb="FFF6F8F9"/>
      </patternFill>
    </fill>
    <fill>
      <patternFill patternType="solid">
        <fgColor rgb="FF274E13"/>
        <bgColor rgb="FF274E13"/>
      </patternFill>
    </fill>
  </fills>
  <borders count="12">
    <border/>
    <border>
      <left style="dotted">
        <color rgb="FF000000"/>
      </left>
      <right style="dotted">
        <color rgb="FF000000"/>
      </right>
      <top style="dotted">
        <color rgb="FF000000"/>
      </top>
      <bottom style="dotted">
        <color rgb="FF000000"/>
      </bottom>
    </border>
    <border>
      <left style="dotted">
        <color rgb="FF000000"/>
      </left>
      <top style="dotted">
        <color rgb="FF000000"/>
      </top>
    </border>
    <border>
      <left style="hair">
        <color rgb="FF000000"/>
      </left>
      <right style="hair">
        <color rgb="FF000000"/>
      </right>
      <top style="hair">
        <color rgb="FF000000"/>
      </top>
      <bottom style="hair">
        <color rgb="FF000000"/>
      </bottom>
    </border>
    <border>
      <right style="dotted">
        <color rgb="FF000000"/>
      </right>
      <top style="dotted">
        <color rgb="FF000000"/>
      </top>
    </border>
    <border>
      <left style="thin">
        <color rgb="FF000000"/>
      </left>
      <right style="thin">
        <color rgb="FF000000"/>
      </right>
      <top style="thin">
        <color rgb="FF000000"/>
      </top>
      <bottom style="thin">
        <color rgb="FF000000"/>
      </bottom>
    </border>
    <border>
      <left style="dotted">
        <color rgb="FF000000"/>
      </left>
      <bottom style="dotted">
        <color rgb="FF000000"/>
      </bottom>
    </border>
    <border>
      <right style="dotted">
        <color rgb="FF000000"/>
      </right>
      <bottom style="dotted">
        <color rgb="FF000000"/>
      </bottom>
    </border>
    <border>
      <left style="thin">
        <color rgb="FF8C352D"/>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top style="thin">
        <color rgb="FFF6F8F9"/>
      </top>
      <bottom style="thin">
        <color rgb="FFF6F8F9"/>
      </bottom>
    </border>
    <border>
      <left style="hair">
        <color rgb="FF000000"/>
      </left>
      <top style="hair">
        <color rgb="FF000000"/>
      </top>
      <bottom style="hair">
        <color rgb="FF000000"/>
      </bottom>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1" fillId="0" fontId="1" numFmtId="0" xfId="0" applyAlignment="1" applyBorder="1" applyFont="1">
      <alignment horizontal="left" readingOrder="0" vertical="center"/>
    </xf>
    <xf borderId="1" fillId="0" fontId="1" numFmtId="0" xfId="0" applyAlignment="1" applyBorder="1" applyFont="1">
      <alignment horizontal="left" readingOrder="0" shrinkToFit="0" vertical="center" wrapText="1"/>
    </xf>
    <xf borderId="1" fillId="0" fontId="1" numFmtId="0" xfId="0" applyAlignment="1" applyBorder="1" applyFont="1">
      <alignment horizontal="left" shrinkToFit="0" vertical="center" wrapText="1"/>
    </xf>
    <xf borderId="0" fillId="0" fontId="2" numFmtId="49" xfId="0" applyAlignment="1" applyFont="1" applyNumberFormat="1">
      <alignment horizontal="center" readingOrder="0" shrinkToFit="0" vertical="center" wrapText="1"/>
    </xf>
    <xf borderId="1" fillId="0" fontId="1" numFmtId="49" xfId="0" applyAlignment="1" applyBorder="1" applyFont="1" applyNumberFormat="1">
      <alignment horizontal="left" readingOrder="0" vertical="center"/>
    </xf>
    <xf borderId="0" fillId="0" fontId="2" numFmtId="0" xfId="0" applyAlignment="1" applyFont="1">
      <alignment horizontal="center" readingOrder="0" shrinkToFit="0" vertical="center" wrapText="0"/>
    </xf>
    <xf borderId="2" fillId="0" fontId="3" numFmtId="0" xfId="0" applyAlignment="1" applyBorder="1" applyFont="1">
      <alignment horizontal="left" readingOrder="0" vertical="center"/>
    </xf>
    <xf borderId="3" fillId="0" fontId="4" numFmtId="49" xfId="0" applyAlignment="1" applyBorder="1" applyFont="1" applyNumberFormat="1">
      <alignment horizontal="center" readingOrder="0" shrinkToFit="0" vertical="center" wrapText="1"/>
    </xf>
    <xf borderId="0" fillId="0" fontId="2" numFmtId="49" xfId="0" applyAlignment="1" applyFont="1" applyNumberFormat="1">
      <alignment horizontal="center" readingOrder="0" shrinkToFit="0" vertical="center" wrapText="0"/>
    </xf>
    <xf borderId="1" fillId="0" fontId="5" numFmtId="0" xfId="0" applyAlignment="1" applyBorder="1" applyFont="1">
      <alignment horizontal="center" readingOrder="0" shrinkToFit="0" vertical="center" wrapText="1"/>
    </xf>
    <xf borderId="4" fillId="0" fontId="6" numFmtId="0" xfId="0" applyBorder="1" applyFont="1"/>
    <xf borderId="5" fillId="0" fontId="7" numFmtId="49" xfId="0" applyAlignment="1" applyBorder="1" applyFont="1" applyNumberFormat="1">
      <alignment horizontal="center" readingOrder="0" shrinkToFit="0" vertical="center" wrapText="0"/>
    </xf>
    <xf borderId="3" fillId="0" fontId="4" numFmtId="0" xfId="0" applyAlignment="1" applyBorder="1" applyFont="1">
      <alignment horizontal="center" readingOrder="0" shrinkToFit="0" vertical="center" wrapText="0"/>
    </xf>
    <xf borderId="0" fillId="0" fontId="8" numFmtId="0" xfId="0" applyAlignment="1" applyFont="1">
      <alignment horizontal="left" readingOrder="0" shrinkToFit="0" vertical="center" wrapText="1"/>
    </xf>
    <xf borderId="1" fillId="0" fontId="1" numFmtId="0" xfId="0" applyAlignment="1" applyBorder="1" applyFont="1">
      <alignment horizontal="left" readingOrder="0" shrinkToFit="0" vertical="center" wrapText="1"/>
    </xf>
    <xf borderId="0" fillId="0" fontId="8" numFmtId="164" xfId="0" applyAlignment="1" applyFont="1" applyNumberFormat="1">
      <alignment horizontal="center" readingOrder="0" shrinkToFit="0" vertical="center" wrapText="0"/>
    </xf>
    <xf borderId="3" fillId="0" fontId="4" numFmtId="0" xfId="0" applyAlignment="1" applyBorder="1" applyFont="1">
      <alignment horizontal="center" readingOrder="0" shrinkToFit="0" vertical="center" wrapText="1"/>
    </xf>
    <xf borderId="6" fillId="0" fontId="6" numFmtId="0" xfId="0" applyBorder="1" applyFont="1"/>
    <xf borderId="7" fillId="0" fontId="6" numFmtId="0" xfId="0" applyBorder="1" applyFont="1"/>
    <xf borderId="1" fillId="0" fontId="5" numFmtId="0" xfId="0" applyAlignment="1" applyBorder="1" applyFont="1">
      <alignment horizontal="center" readingOrder="0" shrinkToFit="0" vertical="center" wrapText="1"/>
    </xf>
    <xf borderId="1" fillId="0" fontId="9" numFmtId="0" xfId="0" applyAlignment="1" applyBorder="1" applyFont="1">
      <alignment horizontal="left" readingOrder="0" vertical="center"/>
    </xf>
    <xf borderId="1" fillId="0" fontId="10" numFmtId="49" xfId="0" applyAlignment="1" applyBorder="1" applyFont="1" applyNumberFormat="1">
      <alignment horizontal="center" readingOrder="0" shrinkToFit="0" vertical="center" wrapText="0"/>
    </xf>
    <xf borderId="1" fillId="0" fontId="5" numFmtId="49" xfId="0" applyAlignment="1" applyBorder="1" applyFont="1" applyNumberFormat="1">
      <alignment horizontal="center" readingOrder="0" shrinkToFit="0" vertical="center" wrapText="1"/>
    </xf>
    <xf borderId="1" fillId="0" fontId="10" numFmtId="0" xfId="0" applyAlignment="1" applyBorder="1" applyFont="1">
      <alignment horizontal="center" readingOrder="0" shrinkToFit="0" vertical="center" wrapText="0"/>
    </xf>
    <xf borderId="3" fillId="0" fontId="11" numFmtId="49" xfId="0" applyAlignment="1" applyBorder="1" applyFont="1" applyNumberFormat="1">
      <alignment horizontal="center" readingOrder="0" shrinkToFit="0" vertical="center" wrapText="1"/>
    </xf>
    <xf borderId="1" fillId="0" fontId="12"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3" fillId="0" fontId="1" numFmtId="0" xfId="0" applyAlignment="1" applyBorder="1" applyFont="1">
      <alignment readingOrder="0" shrinkToFit="0" vertical="center" wrapText="0"/>
    </xf>
    <xf borderId="0" fillId="0" fontId="8" numFmtId="0" xfId="0" applyAlignment="1" applyFont="1">
      <alignment horizontal="left" readingOrder="0" shrinkToFit="0" vertical="center" wrapText="1"/>
    </xf>
    <xf borderId="0" fillId="0" fontId="8" numFmtId="0" xfId="0" applyAlignment="1" applyFont="1">
      <alignment horizontal="center" readingOrder="0" shrinkToFit="0" vertical="center" wrapText="0"/>
    </xf>
    <xf borderId="1" fillId="0" fontId="10" numFmtId="0" xfId="0" applyAlignment="1" applyBorder="1" applyFont="1">
      <alignment horizontal="center" readingOrder="0" shrinkToFit="0" vertical="center" wrapText="1"/>
    </xf>
    <xf borderId="3" fillId="0" fontId="1" numFmtId="0" xfId="0" applyAlignment="1" applyBorder="1" applyFont="1">
      <alignment horizontal="left" shrinkToFit="0" vertical="center" wrapText="1"/>
    </xf>
    <xf borderId="1" fillId="0" fontId="10" numFmtId="0" xfId="0" applyAlignment="1" applyBorder="1" applyFont="1">
      <alignment horizontal="center" readingOrder="0" shrinkToFit="0" vertical="center" wrapText="1"/>
    </xf>
    <xf borderId="1" fillId="0" fontId="5" numFmtId="49" xfId="0" applyAlignment="1" applyBorder="1" applyFont="1" applyNumberFormat="1">
      <alignment horizontal="center" readingOrder="0" shrinkToFit="0" vertical="center" wrapText="1"/>
    </xf>
    <xf borderId="1" fillId="0" fontId="1" numFmtId="0" xfId="0" applyAlignment="1" applyBorder="1" applyFont="1">
      <alignment horizontal="left" readingOrder="0" shrinkToFit="0" vertical="center" wrapText="0"/>
    </xf>
    <xf borderId="0" fillId="0" fontId="8" numFmtId="0" xfId="0" applyAlignment="1" applyFont="1">
      <alignment readingOrder="0" shrinkToFit="0" vertical="center" wrapText="1"/>
    </xf>
    <xf borderId="5" fillId="0" fontId="7" numFmtId="0" xfId="0" applyAlignment="1" applyBorder="1" applyFont="1">
      <alignment horizontal="left" readingOrder="0" shrinkToFit="0" vertical="center" wrapText="0"/>
    </xf>
    <xf borderId="1" fillId="0" fontId="1" numFmtId="0" xfId="0" applyAlignment="1" applyBorder="1" applyFont="1">
      <alignment horizontal="left" shrinkToFit="0" vertical="center" wrapText="0"/>
    </xf>
    <xf borderId="1" fillId="2" fontId="13" numFmtId="0" xfId="0" applyAlignment="1" applyBorder="1" applyFill="1" applyFont="1">
      <alignment horizontal="center" readingOrder="0" shrinkToFit="0" vertical="center" wrapText="1"/>
    </xf>
    <xf borderId="3" fillId="0" fontId="14" numFmtId="0" xfId="0" applyAlignment="1" applyBorder="1" applyFont="1">
      <alignment horizontal="left" readingOrder="0" shrinkToFit="0" vertical="center" wrapText="1"/>
    </xf>
    <xf borderId="1" fillId="0" fontId="1" numFmtId="0" xfId="0" applyAlignment="1" applyBorder="1" applyFont="1">
      <alignment horizontal="left" shrinkToFit="0" vertical="center" wrapText="0"/>
    </xf>
    <xf borderId="1" fillId="0" fontId="1" numFmtId="0" xfId="0" applyAlignment="1" applyBorder="1" applyFont="1">
      <alignment horizontal="left" readingOrder="0" shrinkToFit="0" vertical="center" wrapText="1"/>
    </xf>
    <xf borderId="1" fillId="2" fontId="13" numFmtId="0" xfId="0" applyAlignment="1" applyBorder="1" applyFill="1" applyFont="1">
      <alignment horizontal="center" readingOrder="0" shrinkToFit="0" vertical="center" wrapText="1"/>
    </xf>
    <xf borderId="1" fillId="0" fontId="1" numFmtId="0" xfId="0" applyAlignment="1" applyBorder="1" applyFont="1">
      <alignment horizontal="left" readingOrder="0" shrinkToFit="0" vertical="center" wrapText="1"/>
    </xf>
    <xf borderId="1" fillId="2" fontId="15" numFmtId="0" xfId="0" applyAlignment="1" applyBorder="1" applyFill="1" applyFont="1">
      <alignment shrinkToFit="0" vertical="center" wrapText="1"/>
    </xf>
    <xf borderId="1" fillId="2" fontId="15" numFmtId="0" xfId="0" applyAlignment="1" applyBorder="1" applyFill="1" applyFont="1">
      <alignment readingOrder="0" shrinkToFit="0" vertical="center" wrapText="1"/>
    </xf>
    <xf borderId="5" fillId="0" fontId="7" numFmtId="0" xfId="0" applyAlignment="1" applyBorder="1" applyFont="1">
      <alignment horizontal="left" readingOrder="0" shrinkToFit="0" vertical="center" wrapText="0"/>
    </xf>
    <xf borderId="1" fillId="0" fontId="16"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0"/>
    </xf>
    <xf borderId="1" fillId="2" fontId="17" numFmtId="0" xfId="0" applyAlignment="1" applyBorder="1" applyFill="1" applyFont="1">
      <alignment horizontal="center" readingOrder="0" shrinkToFit="0" vertical="center" wrapText="1"/>
    </xf>
    <xf borderId="1" fillId="2" fontId="18" numFmtId="0" xfId="0" applyAlignment="1" applyBorder="1" applyFill="1" applyFont="1">
      <alignment horizontal="center" readingOrder="0" shrinkToFit="0" vertical="center" wrapText="1"/>
    </xf>
    <xf borderId="1" fillId="2" fontId="13" numFmtId="0" xfId="0" applyAlignment="1" applyBorder="1" applyFill="1" applyFont="1">
      <alignment horizontal="center" shrinkToFit="0" vertical="center" wrapText="1"/>
    </xf>
    <xf borderId="1" fillId="2" fontId="19" numFmtId="0" xfId="0" applyAlignment="1" applyBorder="1" applyFill="1" applyFont="1">
      <alignment horizontal="center" readingOrder="0" shrinkToFit="0" vertical="center" wrapText="1"/>
    </xf>
    <xf borderId="1" fillId="2" fontId="13" numFmtId="49" xfId="0" applyAlignment="1" applyBorder="1" applyFill="1" applyFont="1" applyNumberFormat="1">
      <alignment shrinkToFit="0" vertical="center" wrapText="1"/>
    </xf>
    <xf borderId="1" fillId="0" fontId="1" numFmtId="49" xfId="0" applyAlignment="1" applyBorder="1" applyFont="1" applyNumberFormat="1">
      <alignment horizontal="left" readingOrder="0" shrinkToFit="0" vertical="center" wrapText="1"/>
    </xf>
    <xf borderId="1" fillId="0" fontId="20" numFmtId="0" xfId="0" applyAlignment="1" applyBorder="1" applyFont="1">
      <alignment horizontal="left" readingOrder="0" shrinkToFit="0" vertical="center" wrapText="1"/>
    </xf>
    <xf borderId="1" fillId="2" fontId="13" numFmtId="0" xfId="0" applyAlignment="1" applyBorder="1" applyFill="1" applyFont="1">
      <alignment horizontal="center" shrinkToFit="0" vertical="center" wrapText="1"/>
    </xf>
    <xf borderId="1" fillId="0" fontId="1" numFmtId="0" xfId="0" applyAlignment="1" applyBorder="1" applyFont="1">
      <alignment horizontal="left" readingOrder="0" shrinkToFit="0" vertical="center" wrapText="1"/>
    </xf>
    <xf borderId="1" fillId="3" fontId="21" numFmtId="0" xfId="0" applyAlignment="1" applyBorder="1" applyFill="1" applyFont="1">
      <alignment horizontal="left" readingOrder="0" shrinkToFit="0" vertical="center" wrapText="0"/>
    </xf>
    <xf borderId="0" fillId="0" fontId="8" numFmtId="49" xfId="0" applyAlignment="1" applyFont="1" applyNumberFormat="1">
      <alignment readingOrder="0" shrinkToFit="0" vertical="center" wrapText="1"/>
    </xf>
    <xf borderId="1" fillId="3" fontId="21" numFmtId="0" xfId="0" applyAlignment="1" applyBorder="1" applyFill="1" applyFont="1">
      <alignment horizontal="left" shrinkToFit="0" vertical="center" wrapText="1"/>
    </xf>
    <xf borderId="1" fillId="3" fontId="21" numFmtId="0" xfId="0" applyAlignment="1" applyBorder="1" applyFill="1" applyFont="1">
      <alignment horizontal="left" shrinkToFit="0" vertical="center" wrapText="0"/>
    </xf>
    <xf borderId="1" fillId="3" fontId="21" numFmtId="0" xfId="0" applyAlignment="1" applyBorder="1" applyFill="1" applyFont="1">
      <alignment horizontal="left" shrinkToFit="0" vertical="center" wrapText="1"/>
    </xf>
    <xf borderId="0" fillId="0" fontId="1" numFmtId="0" xfId="0" applyAlignment="1" applyFont="1">
      <alignment horizontal="center"/>
    </xf>
    <xf borderId="1" fillId="2" fontId="15" numFmtId="49" xfId="0" applyAlignment="1" applyBorder="1" applyFill="1" applyFont="1" applyNumberFormat="1">
      <alignment horizontal="left" readingOrder="0" shrinkToFit="0" vertical="center" wrapText="1"/>
    </xf>
    <xf borderId="1" fillId="0" fontId="16" numFmtId="0" xfId="0" applyAlignment="1" applyBorder="1" applyFont="1">
      <alignment horizontal="left" readingOrder="0" shrinkToFit="0" vertical="center" wrapText="1"/>
    </xf>
    <xf borderId="0" fillId="0" fontId="1" numFmtId="0" xfId="0" applyAlignment="1" applyFont="1">
      <alignment horizontal="left"/>
    </xf>
    <xf borderId="1" fillId="2" fontId="15" numFmtId="49" xfId="0" applyAlignment="1" applyBorder="1" applyFill="1" applyFont="1" applyNumberFormat="1">
      <alignment horizontal="left" readingOrder="0" shrinkToFit="0" vertical="center" wrapText="1"/>
    </xf>
    <xf borderId="1" fillId="0" fontId="16" numFmtId="0" xfId="0" applyAlignment="1" applyBorder="1" applyFont="1">
      <alignment horizontal="left" readingOrder="0" shrinkToFit="0" vertical="center" wrapText="1"/>
    </xf>
    <xf borderId="8" fillId="4" fontId="22" numFmtId="0" xfId="0" applyAlignment="1" applyBorder="1" applyFill="1" applyFont="1">
      <alignment shrinkToFit="0" vertical="center" wrapText="1"/>
    </xf>
    <xf borderId="9" fillId="4" fontId="22" numFmtId="164" xfId="0" applyAlignment="1" applyBorder="1" applyFill="1" applyFont="1" applyNumberFormat="1">
      <alignment horizontal="center" shrinkToFit="0" vertical="center" wrapText="0"/>
    </xf>
    <xf borderId="9" fillId="4" fontId="22" numFmtId="0" xfId="0" applyAlignment="1" applyBorder="1" applyFill="1" applyFont="1">
      <alignment shrinkToFit="0" vertical="center" wrapText="1"/>
    </xf>
    <xf borderId="9" fillId="4" fontId="23" numFmtId="0" xfId="0" applyAlignment="1" applyBorder="1" applyFill="1" applyFont="1">
      <alignment horizontal="center" readingOrder="0" shrinkToFit="0" vertical="center" wrapText="0"/>
    </xf>
    <xf borderId="10" fillId="4" fontId="22" numFmtId="49" xfId="0" applyAlignment="1" applyBorder="1" applyFill="1" applyFont="1" applyNumberFormat="1">
      <alignment shrinkToFit="0" vertical="center" wrapText="1"/>
    </xf>
    <xf borderId="0" fillId="0" fontId="24" numFmtId="0" xfId="0" applyAlignment="1" applyFont="1">
      <alignment horizontal="left" shrinkToFit="0" vertical="center" wrapText="1"/>
    </xf>
    <xf borderId="0" fillId="0" fontId="24" numFmtId="0" xfId="0" applyAlignment="1" applyFont="1">
      <alignment horizontal="left" shrinkToFit="0" vertical="center" wrapText="0"/>
    </xf>
    <xf borderId="0" fillId="0" fontId="24" numFmtId="0" xfId="0" applyAlignment="1" applyFont="1">
      <alignment horizontal="center" shrinkToFit="0" vertical="center" wrapText="0"/>
    </xf>
    <xf borderId="5" fillId="0" fontId="7" numFmtId="0" xfId="0" applyAlignment="1" applyBorder="1" applyFont="1">
      <alignment horizontal="left" shrinkToFit="0" vertical="center" wrapText="0"/>
    </xf>
    <xf borderId="5" fillId="0" fontId="7" numFmtId="0" xfId="0" applyAlignment="1" applyBorder="1" applyFont="1">
      <alignment horizontal="center" shrinkToFit="0" vertical="center" wrapText="0"/>
    </xf>
    <xf borderId="0" fillId="0" fontId="4" numFmtId="0" xfId="0" applyAlignment="1" applyFont="1">
      <alignment horizontal="center" readingOrder="0" vertical="center"/>
    </xf>
    <xf borderId="3" fillId="0" fontId="11" numFmtId="0" xfId="0" applyAlignment="1" applyBorder="1" applyFont="1">
      <alignment horizontal="center" readingOrder="0" shrinkToFit="0" vertical="center" wrapText="0"/>
    </xf>
    <xf borderId="3" fillId="0" fontId="4" numFmtId="0" xfId="0" applyAlignment="1" applyBorder="1" applyFont="1">
      <alignment horizontal="center" readingOrder="0" shrinkToFit="0" vertical="center" wrapText="0"/>
    </xf>
    <xf borderId="0" fillId="0" fontId="1" numFmtId="0" xfId="0" applyAlignment="1" applyFont="1">
      <alignment horizontal="center" readingOrder="0" vertical="center"/>
    </xf>
    <xf borderId="3" fillId="0" fontId="1" numFmtId="0" xfId="0" applyAlignment="1" applyBorder="1" applyFont="1">
      <alignment horizontal="center" shrinkToFit="0" vertical="center" wrapText="0"/>
    </xf>
    <xf borderId="3" fillId="0" fontId="1" numFmtId="0" xfId="0" applyAlignment="1" applyBorder="1" applyFont="1">
      <alignment readingOrder="0" shrinkToFit="0" vertical="center" wrapText="0"/>
    </xf>
    <xf borderId="3" fillId="0" fontId="1" numFmtId="0" xfId="0" applyAlignment="1" applyBorder="1" applyFont="1">
      <alignment horizontal="center" readingOrder="0" shrinkToFit="0" vertical="center" wrapText="0"/>
    </xf>
    <xf borderId="3" fillId="0" fontId="25" numFmtId="0" xfId="0" applyAlignment="1" applyBorder="1" applyFont="1">
      <alignment horizontal="center" readingOrder="0" shrinkToFit="0" vertical="center" wrapText="0"/>
    </xf>
    <xf borderId="0" fillId="0" fontId="1" numFmtId="0" xfId="0" applyAlignment="1" applyFont="1">
      <alignment horizontal="center" vertical="center"/>
    </xf>
    <xf borderId="3" fillId="0" fontId="26" numFmtId="0" xfId="0" applyAlignment="1" applyBorder="1" applyFont="1">
      <alignment horizontal="left" readingOrder="0" shrinkToFit="0" vertical="center" wrapText="1"/>
    </xf>
    <xf borderId="3" fillId="0" fontId="1" numFmtId="0" xfId="0" applyAlignment="1" applyBorder="1" applyFont="1">
      <alignment horizontal="left" readingOrder="0" shrinkToFit="0" vertical="center" wrapText="1"/>
    </xf>
    <xf borderId="0" fillId="0" fontId="1" numFmtId="0" xfId="0" applyAlignment="1" applyFont="1">
      <alignment horizontal="center" shrinkToFit="0" vertical="center" wrapText="0"/>
    </xf>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25" numFmtId="0" xfId="0" applyAlignment="1" applyFont="1">
      <alignment horizontal="center" readingOrder="0" shrinkToFit="0" vertical="center" wrapText="0"/>
    </xf>
    <xf borderId="1" fillId="0" fontId="16" numFmtId="0" xfId="0" applyAlignment="1" applyBorder="1" applyFont="1">
      <alignment horizontal="center" readingOrder="0" shrinkToFit="0" vertical="center" wrapText="1"/>
    </xf>
    <xf borderId="0" fillId="0" fontId="4" numFmtId="0" xfId="0" applyAlignment="1" applyFont="1">
      <alignment horizontal="center"/>
    </xf>
    <xf borderId="1" fillId="2" fontId="15" numFmtId="0" xfId="0" applyAlignment="1" applyBorder="1" applyFill="1" applyFont="1">
      <alignment horizontal="left" readingOrder="0" shrinkToFit="0" vertical="center" wrapText="1"/>
    </xf>
    <xf borderId="1" fillId="2" fontId="15" numFmtId="0" xfId="0" applyAlignment="1" applyBorder="1" applyFill="1" applyFont="1">
      <alignment horizontal="left" shrinkToFit="0" vertical="center" wrapText="1"/>
    </xf>
    <xf borderId="1" fillId="2" fontId="17" numFmtId="0" xfId="0" applyAlignment="1" applyBorder="1" applyFill="1" applyFont="1">
      <alignment horizontal="left" readingOrder="0" shrinkToFit="0" vertical="center" wrapText="1"/>
    </xf>
    <xf borderId="0" fillId="5" fontId="1" numFmtId="0" xfId="0" applyAlignment="1" applyFill="1" applyFont="1">
      <alignment horizontal="center" readingOrder="0" shrinkToFit="0" vertical="center" wrapText="0"/>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9"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7" numFmtId="0" xfId="0" applyAlignment="1" applyFont="1">
      <alignment horizontal="left" readingOrder="0" shrinkToFit="0" vertical="center" wrapText="0"/>
    </xf>
    <xf borderId="0" fillId="0" fontId="1" numFmtId="0" xfId="0" applyAlignment="1" applyFont="1">
      <alignment horizontal="left" vertical="center"/>
    </xf>
    <xf borderId="0" fillId="2" fontId="28" numFmtId="0" xfId="0" applyAlignment="1" applyFill="1" applyFont="1">
      <alignment horizontal="left" readingOrder="0" shrinkToFit="0" vertical="center" wrapText="1"/>
    </xf>
    <xf borderId="0" fillId="0" fontId="9" numFmtId="0" xfId="0" applyAlignment="1" applyFont="1">
      <alignment horizontal="left" readingOrder="0" shrinkToFit="0" vertical="center" wrapText="0"/>
    </xf>
    <xf borderId="0" fillId="0" fontId="1" numFmtId="0" xfId="0" applyAlignment="1" applyFont="1">
      <alignment horizontal="left" shrinkToFit="0" vertical="center" wrapText="0"/>
    </xf>
    <xf borderId="0" fillId="0" fontId="1" numFmtId="0" xfId="0" applyAlignment="1" applyFont="1">
      <alignment horizontal="left" shrinkToFit="0" vertical="center" wrapText="1"/>
    </xf>
    <xf borderId="0" fillId="0" fontId="1" numFmtId="0" xfId="0" applyAlignment="1" applyFont="1">
      <alignment horizontal="left" shrinkToFit="0" vertical="center" wrapText="0"/>
    </xf>
    <xf borderId="0" fillId="0" fontId="29" numFmtId="0" xfId="0" applyAlignment="1" applyFont="1">
      <alignment horizontal="center" readingOrder="0" shrinkToFit="0" vertical="center" wrapText="1"/>
    </xf>
    <xf borderId="3" fillId="2" fontId="18" numFmtId="0" xfId="0" applyAlignment="1" applyBorder="1" applyFill="1" applyFont="1">
      <alignment horizontal="center" readingOrder="0" shrinkToFit="0" vertical="center" wrapText="1"/>
    </xf>
    <xf borderId="3" fillId="2" fontId="19" numFmtId="0" xfId="0" applyAlignment="1" applyBorder="1" applyFill="1" applyFont="1">
      <alignment horizontal="center" readingOrder="0" shrinkToFit="0" vertical="center" wrapText="1"/>
    </xf>
    <xf borderId="3" fillId="2" fontId="13" numFmtId="0" xfId="0" applyAlignment="1" applyBorder="1" applyFill="1" applyFont="1">
      <alignment readingOrder="0" shrinkToFit="0" vertical="center" wrapText="1"/>
    </xf>
    <xf borderId="3" fillId="2" fontId="13" numFmtId="0" xfId="0" applyAlignment="1" applyBorder="1" applyFill="1" applyFont="1">
      <alignment horizontal="center" readingOrder="0" shrinkToFit="0" vertical="center" wrapText="1"/>
    </xf>
    <xf borderId="3" fillId="2" fontId="13" numFmtId="0" xfId="0" applyAlignment="1" applyBorder="1" applyFill="1" applyFont="1">
      <alignment horizontal="center" shrinkToFit="0" vertical="center" wrapText="1"/>
    </xf>
    <xf borderId="3" fillId="2" fontId="30" numFmtId="0" xfId="0" applyAlignment="1" applyBorder="1" applyFill="1" applyFont="1">
      <alignment horizontal="center" readingOrder="0" shrinkToFit="0" vertical="center" wrapText="1"/>
    </xf>
    <xf borderId="3" fillId="2" fontId="19" numFmtId="0" xfId="0" applyAlignment="1" applyBorder="1" applyFill="1" applyFont="1">
      <alignment horizontal="center" shrinkToFit="0" vertical="center" wrapText="1"/>
    </xf>
    <xf borderId="3" fillId="2" fontId="13" numFmtId="0" xfId="0" applyAlignment="1" applyBorder="1" applyFill="1" applyFont="1">
      <alignment readingOrder="0" shrinkToFit="0" vertical="center" wrapText="1"/>
    </xf>
    <xf borderId="1" fillId="2" fontId="13" numFmtId="49" xfId="0" applyAlignment="1" applyBorder="1" applyFill="1" applyFont="1" applyNumberFormat="1">
      <alignment readingOrder="0" shrinkToFit="0" vertical="center" wrapText="1"/>
    </xf>
    <xf borderId="1" fillId="0" fontId="16" numFmtId="0" xfId="0" applyAlignment="1" applyBorder="1" applyFont="1">
      <alignment horizontal="center" shrinkToFit="0" vertical="center" wrapText="1"/>
    </xf>
    <xf borderId="1" fillId="2" fontId="17" numFmtId="0" xfId="0" applyAlignment="1" applyBorder="1" applyFill="1" applyFont="1">
      <alignment horizontal="center" readingOrder="0" shrinkToFit="0" vertical="center" wrapText="1"/>
    </xf>
    <xf borderId="1" fillId="0" fontId="16" numFmtId="0" xfId="0" applyAlignment="1" applyBorder="1" applyFont="1">
      <alignment horizontal="center" readingOrder="0" shrinkToFit="0" vertical="center" wrapText="1"/>
    </xf>
    <xf borderId="1" fillId="2" fontId="31" numFmtId="0" xfId="0" applyAlignment="1" applyBorder="1" applyFill="1" applyFont="1">
      <alignment horizontal="center" readingOrder="0" shrinkToFit="0" vertical="center" wrapText="1"/>
    </xf>
    <xf borderId="3" fillId="0" fontId="32" numFmtId="0" xfId="0" applyAlignment="1" applyBorder="1" applyFont="1">
      <alignment horizontal="left" readingOrder="0"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1"/>
    </xf>
    <xf borderId="3" fillId="0" fontId="1" numFmtId="0" xfId="0" applyAlignment="1" applyBorder="1" applyFont="1">
      <alignment readingOrder="0" shrinkToFit="0" vertical="center" wrapText="0"/>
    </xf>
    <xf borderId="1" fillId="2" fontId="1" numFmtId="0" xfId="0" applyAlignment="1" applyBorder="1" applyFill="1" applyFont="1">
      <alignment horizontal="center" readingOrder="0" shrinkToFit="0" vertical="center" wrapText="1"/>
    </xf>
    <xf borderId="1" fillId="0" fontId="1" numFmtId="0" xfId="0" applyAlignment="1" applyBorder="1" applyFont="1">
      <alignment shrinkToFit="0" vertical="center" wrapText="0"/>
    </xf>
    <xf borderId="11" fillId="0" fontId="1" numFmtId="0" xfId="0" applyAlignment="1" applyBorder="1" applyFont="1">
      <alignment horizontal="center" shrinkToFit="0" wrapText="1"/>
    </xf>
    <xf borderId="3" fillId="0" fontId="1" numFmtId="0" xfId="0" applyAlignment="1" applyBorder="1" applyFont="1">
      <alignment horizontal="left"/>
    </xf>
    <xf borderId="3" fillId="0" fontId="1" numFmtId="0" xfId="0" applyAlignment="1" applyBorder="1" applyFont="1">
      <alignment horizontal="left" shrinkToFit="0" wrapText="1"/>
    </xf>
    <xf borderId="0" fillId="0" fontId="1" numFmtId="0" xfId="0" applyAlignment="1" applyFont="1">
      <alignment horizontal="left" shrinkToFit="0" wrapText="1"/>
    </xf>
    <xf borderId="0" fillId="0" fontId="1" numFmtId="0" xfId="0" applyAlignment="1" applyFont="1">
      <alignment horizontal="center" shrinkToFit="0" wrapText="1"/>
    </xf>
    <xf borderId="1" fillId="2" fontId="1" numFmtId="0" xfId="0" applyAlignment="1" applyBorder="1" applyFill="1" applyFont="1">
      <alignment horizontal="center" readingOrder="0" shrinkToFit="0" vertical="center" wrapText="0"/>
    </xf>
    <xf borderId="1" fillId="2" fontId="15" numFmtId="0" xfId="0" applyAlignment="1" applyBorder="1" applyFill="1" applyFont="1">
      <alignment shrinkToFit="0" vertical="center" wrapText="1"/>
    </xf>
    <xf borderId="1" fillId="0" fontId="1" numFmtId="0" xfId="0" applyAlignment="1" applyBorder="1" applyFont="1">
      <alignment horizontal="center" readingOrder="0" shrinkToFit="0" vertical="center" wrapText="0"/>
    </xf>
    <xf borderId="1" fillId="0" fontId="16" numFmtId="0" xfId="0" applyAlignment="1" applyBorder="1" applyFont="1">
      <alignment horizontal="center" readingOrder="0" shrinkToFit="0" vertical="center" wrapText="0"/>
    </xf>
    <xf borderId="1" fillId="0" fontId="16" numFmtId="0" xfId="0" applyAlignment="1" applyBorder="1" applyFont="1">
      <alignment horizontal="center" shrinkToFit="0" vertical="center" wrapText="0"/>
    </xf>
    <xf borderId="1" fillId="0" fontId="16" numFmtId="0" xfId="0" applyAlignment="1" applyBorder="1" applyFont="1">
      <alignment horizontal="center" shrinkToFit="0" vertical="center" wrapText="1"/>
    </xf>
  </cellXfs>
  <cellStyles count="1">
    <cellStyle xfId="0" name="Normal" builtinId="0"/>
  </cellStyles>
  <dxfs count="15">
    <dxf>
      <font/>
      <fill>
        <patternFill patternType="none"/>
      </fill>
      <border/>
    </dxf>
    <dxf>
      <font/>
      <fill>
        <patternFill patternType="solid">
          <fgColor rgb="FF5B3F86"/>
          <bgColor rgb="FF5B3F86"/>
        </patternFill>
      </fill>
      <border/>
    </dxf>
    <dxf>
      <font/>
      <fill>
        <patternFill patternType="solid">
          <fgColor rgb="FF373F6B"/>
          <bgColor rgb="FF373F6B"/>
        </patternFill>
      </fill>
      <border/>
    </dxf>
    <dxf>
      <font/>
      <fill>
        <patternFill patternType="solid">
          <fgColor rgb="FFBB463C"/>
          <bgColor rgb="FFBB463C"/>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DC5DA"/>
          <bgColor rgb="FFCDC5DA"/>
        </patternFill>
      </fill>
      <border/>
    </dxf>
    <dxf>
      <border>
        <left style="thin">
          <color rgb="FF373F6B"/>
        </left>
        <right style="thin">
          <color rgb="FF373F6B"/>
        </right>
        <top style="thin">
          <color rgb="FF373F6B"/>
        </top>
        <bottom style="thin">
          <color rgb="FF373F6B"/>
        </bottom>
      </border>
    </dxf>
    <dxf>
      <font/>
      <fill>
        <patternFill patternType="solid">
          <fgColor rgb="FFEED1CE"/>
          <bgColor rgb="FFEED1CE"/>
        </patternFill>
      </fill>
      <border/>
    </dxf>
    <dxf>
      <font/>
      <fill>
        <patternFill patternType="solid">
          <fgColor rgb="FF4A568D"/>
          <bgColor rgb="FF4A568D"/>
        </patternFill>
      </fill>
      <border/>
    </dxf>
    <dxf>
      <font/>
      <fill>
        <patternFill patternType="solid">
          <fgColor rgb="FF356854"/>
          <bgColor rgb="FF356854"/>
        </patternFill>
      </fill>
      <border/>
    </dxf>
    <dxf>
      <font/>
      <fill>
        <patternFill patternType="solid">
          <fgColor rgb="FFFF0000"/>
          <bgColor rgb="FFFF0000"/>
        </patternFill>
      </fill>
      <border/>
    </dxf>
    <dxf>
      <font/>
      <fill>
        <patternFill patternType="solid">
          <fgColor rgb="FFF3F3F3"/>
          <bgColor rgb="FFF3F3F3"/>
        </patternFill>
      </fill>
      <border/>
    </dxf>
    <dxf>
      <font/>
      <fill>
        <patternFill patternType="solid">
          <fgColor rgb="FFFFF2CC"/>
          <bgColor rgb="FFFFF2CC"/>
        </patternFill>
      </fill>
      <border/>
    </dxf>
    <dxf>
      <font/>
      <fill>
        <patternFill patternType="solid">
          <fgColor rgb="FFD2D5E3"/>
          <bgColor rgb="FFD2D5E3"/>
        </patternFill>
      </fill>
      <border/>
    </dxf>
  </dxfs>
  <tableStyles count="9">
    <tableStyle count="5" pivot="0" name="Scenses 🎬-style">
      <tableStyleElement dxfId="2" type="headerRow"/>
      <tableStyleElement dxfId="4" type="firstRowStripe"/>
      <tableStyleElement dxfId="5" type="secondRowStripe"/>
      <tableStyleElement dxfId="6" type="totalRow"/>
      <tableStyleElement dxfId="7" size="0" type="wholeTable"/>
    </tableStyle>
    <tableStyle count="5" pivot="0" name="YouTube Main 📌-style">
      <tableStyleElement dxfId="3" type="headerRow"/>
      <tableStyleElement dxfId="4" type="firstRowStripe"/>
      <tableStyleElement dxfId="5" type="secondRowStripe"/>
      <tableStyleElement dxfId="8" type="totalRow"/>
      <tableStyleElement dxfId="7" size="0" type="wholeTable"/>
    </tableStyle>
    <tableStyle count="4" pivot="0" name="Contents 🖊️-style">
      <tableStyleElement dxfId="1" type="headerRow"/>
      <tableStyleElement dxfId="4" type="firstRowStripe"/>
      <tableStyleElement dxfId="5" type="secondRowStripe"/>
      <tableStyleElement dxfId="7" size="0" type="wholeTable"/>
    </tableStyle>
    <tableStyle count="4" pivot="0" name="Episodes ⏭️-style">
      <tableStyleElement dxfId="3" type="headerRow"/>
      <tableStyleElement dxfId="4" type="firstRowStripe"/>
      <tableStyleElement dxfId="5" type="secondRowStripe"/>
      <tableStyleElement dxfId="7" size="0" type="wholeTable"/>
    </tableStyle>
    <tableStyle count="4" pivot="0" name="Languages 🌍-style">
      <tableStyleElement dxfId="9" type="headerRow"/>
      <tableStyleElement dxfId="4" type="firstRowStripe"/>
      <tableStyleElement dxfId="5" type="secondRowStripe"/>
      <tableStyleElement dxfId="7" size="0" type="wholeTable"/>
    </tableStyle>
    <tableStyle count="4" pivot="0" name="Assets👁️👁️-style">
      <tableStyleElement dxfId="10" type="headerRow"/>
      <tableStyleElement dxfId="4" type="firstRowStripe"/>
      <tableStyleElement dxfId="5" type="secondRowStripe"/>
      <tableStyleElement dxfId="7" size="0" type="wholeTable"/>
    </tableStyle>
    <tableStyle count="4" pivot="0" name="Subtitles 🔍-style">
      <tableStyleElement dxfId="9" type="headerRow"/>
      <tableStyleElement dxfId="4" type="firstRowStripe"/>
      <tableStyleElement dxfId="5" type="secondRowStripe"/>
      <tableStyleElement dxfId="7" size="0" type="wholeTable"/>
    </tableStyle>
    <tableStyle count="5" pivot="0" name="Collections 📃-style">
      <tableStyleElement dxfId="9" type="headerRow"/>
      <tableStyleElement dxfId="4" type="firstRowStripe"/>
      <tableStyleElement dxfId="5" type="secondRowStripe"/>
      <tableStyleElement dxfId="14" type="totalRow"/>
      <tableStyleElement dxfId="7" size="0" type="wholeTable"/>
    </tableStyle>
    <tableStyle count="4" pivot="0" name="Body Content-style">
      <tableStyleElement dxfId="9" type="headerRow"/>
      <tableStyleElement dxfId="4" type="firstRowStripe"/>
      <tableStyleElement dxfId="5" type="secondRowStripe"/>
      <tableStyleElement dxfId="7"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I15" displayName="_YouTube" name="_YouTube" id="4">
  <tableColumns count="9">
    <tableColumn name="Episode" id="1"/>
    <tableColumn name="Data" id="2"/>
    <tableColumn name="Title" id="3"/>
    <tableColumn name="Status" id="4"/>
    <tableColumn name="Collection" id="5"/>
    <tableColumn name="Sound Effects" id="6"/>
    <tableColumn name="Music" id="7"/>
    <tableColumn name="Subtitles" id="8"/>
    <tableColumn name="Tumbnaill" id="9"/>
  </tableColumns>
  <tableStyleInfo name="YouTube Main 📌-style" showColumnStripes="0" showFirstColumn="1" showLastColumn="1" showRowStripes="1"/>
</table>
</file>

<file path=xl/tables/table2.xml><?xml version="1.0" encoding="utf-8"?>
<table xmlns="http://schemas.openxmlformats.org/spreadsheetml/2006/main" ref="A1:L858" displayName="Contents" name="Contents" id="3">
  <tableColumns count="12">
    <tableColumn name="ROW" id="1"/>
    <tableColumn name="ID" id="2"/>
    <tableColumn name="Episode" id="3"/>
    <tableColumn name="Language" id="4"/>
    <tableColumn name="Title" id="5"/>
    <tableColumn name="Description" id="6"/>
    <tableColumn name="Tags" id="7"/>
    <tableColumn name="Subtitles" id="8"/>
    <tableColumn name="Related Video" id="9"/>
    <tableColumn name="Pinned Comment" id="10"/>
    <tableColumn name="Music" id="11"/>
    <tableColumn name="Tumbnaill" id="12"/>
  </tableColumns>
  <tableStyleInfo name="Contents 🖊️-style" showColumnStripes="0" showFirstColumn="1" showLastColumn="1" showRowStripes="1"/>
</table>
</file>

<file path=xl/tables/table3.xml><?xml version="1.0" encoding="utf-8"?>
<table xmlns="http://schemas.openxmlformats.org/spreadsheetml/2006/main" ref="A1:E145" displayName="Episodes" name="Episodes" id="1">
  <tableColumns count="5">
    <tableColumn name="Episode number" id="1"/>
    <tableColumn name="Collection" id="2"/>
    <tableColumn name="Episode" id="3"/>
    <tableColumn name="Shared Link" id="4"/>
    <tableColumn name="SCN Count" id="5"/>
  </tableColumns>
  <tableStyleInfo name="Episodes ⏭️-style" showColumnStripes="0" showFirstColumn="1" showLastColumn="1" showRowStripes="1"/>
</table>
</file>

<file path=xl/tables/table4.xml><?xml version="1.0" encoding="utf-8"?>
<table xmlns="http://schemas.openxmlformats.org/spreadsheetml/2006/main" totalsRowCount="1" ref="A5:I12" displayName="Scenses" name="Scenses" id="2">
  <tableColumns count="9">
    <tableColumn name="ROW" id="1"/>
    <tableColumn totalsRowLabel="COUNT" name="ID" id="2"/>
    <tableColumn totalsRowFunction="custom" name="Episode" id="3"/>
    <tableColumn name="SCN Count" id="4"/>
    <tableColumn name="SCN Number" id="5"/>
    <tableColumn name="Scense Title" id="6"/>
    <tableColumn name="SCN Hook" id="7"/>
    <tableColumn name="SCN Senario" id="8"/>
    <tableColumn name="SCN Body" id="9"/>
  </tableColumns>
  <tableStyleInfo name="Scenses 🎬-style" showColumnStripes="0" showFirstColumn="1" showLastColumn="1" showRowStripes="1"/>
</table>
</file>

<file path=xl/tables/table5.xml><?xml version="1.0" encoding="utf-8"?>
<table xmlns="http://schemas.openxmlformats.org/spreadsheetml/2006/main" ref="A1:B11" displayName="Languages" name="Languages" id="5">
  <tableColumns count="2">
    <tableColumn name="ID" id="1"/>
    <tableColumn name="Name" id="2"/>
  </tableColumns>
  <tableStyleInfo name="Languages 🌍-style" showColumnStripes="0" showFirstColumn="1" showLastColumn="1" showRowStripes="1"/>
</table>
</file>

<file path=xl/tables/table6.xml><?xml version="1.0" encoding="utf-8"?>
<table xmlns="http://schemas.openxmlformats.org/spreadsheetml/2006/main" ref="B1:G25" displayName="Assets_Table" name="Assets_Table" id="6">
  <tableColumns count="6">
    <tableColumn name="Assets ID" id="1"/>
    <tableColumn name="Type" id="2"/>
    <tableColumn name="Name" id="3"/>
    <tableColumn name="Context" id="4"/>
    <tableColumn name="Description" id="5"/>
    <tableColumn name="Storage Location" id="6"/>
  </tableColumns>
  <tableStyleInfo name="Assets👁️👁️-style" showColumnStripes="0" showFirstColumn="1" showLastColumn="1" showRowStripes="1"/>
</table>
</file>

<file path=xl/tables/table7.xml><?xml version="1.0" encoding="utf-8"?>
<table xmlns="http://schemas.openxmlformats.org/spreadsheetml/2006/main" ref="A1:D2" displayName="Table2" name="Table2" id="7">
  <tableColumns count="4">
    <tableColumn name="Episode" id="1"/>
    <tableColumn name="Language" id="2"/>
    <tableColumn name="Time duration" id="3"/>
    <tableColumn name="Text" id="4"/>
  </tableColumns>
  <tableStyleInfo name="Subtitles 🔍-style" showColumnStripes="0" showFirstColumn="1" showLastColumn="1" showRowStripes="1"/>
</table>
</file>

<file path=xl/tables/table8.xml><?xml version="1.0" encoding="utf-8"?>
<table xmlns="http://schemas.openxmlformats.org/spreadsheetml/2006/main" totalsRowCount="1" ref="A1:F5" displayName="Collections" name="Collections" id="8">
  <tableColumns count="6">
    <tableColumn name="ID" id="1"/>
    <tableColumn name="name" id="2"/>
    <tableColumn name="Title" id="3"/>
    <tableColumn name="Description" id="4"/>
    <tableColumn name="type" id="5"/>
    <tableColumn name="Share Link" id="6"/>
  </tableColumns>
  <tableStyleInfo name="Collections 📃-style" showColumnStripes="0" showFirstColumn="1" showLastColumn="1" showRowStripes="1"/>
</table>
</file>

<file path=xl/tables/table9.xml><?xml version="1.0" encoding="utf-8"?>
<table xmlns="http://schemas.openxmlformats.org/spreadsheetml/2006/main" ref="A1:H15" displayName="Table1" name="Table1" id="9">
  <tableColumns count="8">
    <tableColumn name="Hook Description" id="1"/>
    <tableColumn name="Description" id="2"/>
    <tableColumn name="Tags" id="3"/>
    <tableColumn name="Related Video" id="4"/>
    <tableColumn name="Subtitle" id="5"/>
    <tableColumn name="Quiz" id="6"/>
    <tableColumn name="Scenses Count" id="7"/>
    <tableColumn name="Pinned Comment" id="8"/>
  </tableColumns>
  <tableStyleInfo name="Body Cont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playlist?list=PLMG4RCtlrh18"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40" Type="http://schemas.openxmlformats.org/officeDocument/2006/relationships/hyperlink" Target="https://youtube.com/shorts/wF2OQQobC5s?feature=share" TargetMode="External"/><Relationship Id="rId42" Type="http://schemas.openxmlformats.org/officeDocument/2006/relationships/hyperlink" Target="https://youtube.com/shorts/YFSXgrE22HU?feature=share" TargetMode="External"/><Relationship Id="rId41" Type="http://schemas.openxmlformats.org/officeDocument/2006/relationships/hyperlink" Target="https://youtube.com/shorts/W93Zrk4xwY0?feature=share" TargetMode="External"/><Relationship Id="rId44" Type="http://schemas.openxmlformats.org/officeDocument/2006/relationships/hyperlink" Target="https://youtube.com/shorts/wqLE_nUdnls?feature=share" TargetMode="External"/><Relationship Id="rId43" Type="http://schemas.openxmlformats.org/officeDocument/2006/relationships/hyperlink" Target="https://youtube.com/shorts/kpSNhqOnyaw?feature=share" TargetMode="External"/><Relationship Id="rId46" Type="http://schemas.openxmlformats.org/officeDocument/2006/relationships/hyperlink" Target="https://youtube.com/shorts/-Gfm5RKBcsA?feature=share" TargetMode="External"/><Relationship Id="rId45" Type="http://schemas.openxmlformats.org/officeDocument/2006/relationships/hyperlink" Target="https://youtube.com/shorts/oKOpeF0cKvg?feature=share" TargetMode="External"/><Relationship Id="rId1" Type="http://schemas.openxmlformats.org/officeDocument/2006/relationships/hyperlink" Target="https://youtube.com/shorts/Wr0LckTDOgk?feature=share" TargetMode="External"/><Relationship Id="rId2" Type="http://schemas.openxmlformats.org/officeDocument/2006/relationships/hyperlink" Target="https://youtube.com/shorts/AHJc3pj2LVE?feature=share" TargetMode="External"/><Relationship Id="rId3" Type="http://schemas.openxmlformats.org/officeDocument/2006/relationships/hyperlink" Target="https://youtube.com/shorts/CwWa9-SD-48?feature=share" TargetMode="External"/><Relationship Id="rId4" Type="http://schemas.openxmlformats.org/officeDocument/2006/relationships/hyperlink" Target="https://youtube.com/shorts/jnbl6Kq9YNI?feature=share" TargetMode="External"/><Relationship Id="rId9" Type="http://schemas.openxmlformats.org/officeDocument/2006/relationships/hyperlink" Target="https://youtube.com/shorts/0p9wD4eE54k?feature=share" TargetMode="External"/><Relationship Id="rId48" Type="http://schemas.openxmlformats.org/officeDocument/2006/relationships/hyperlink" Target="https://youtube.com/shorts/MNv4mQyShs0?feature=share" TargetMode="External"/><Relationship Id="rId47" Type="http://schemas.openxmlformats.org/officeDocument/2006/relationships/hyperlink" Target="https://youtube.com/shorts/wCI0iL3jXBM?feature=share" TargetMode="External"/><Relationship Id="rId49" Type="http://schemas.openxmlformats.org/officeDocument/2006/relationships/hyperlink" Target="https://youtube.com/shorts/7C66YE9PwQM?feature=share" TargetMode="External"/><Relationship Id="rId5" Type="http://schemas.openxmlformats.org/officeDocument/2006/relationships/hyperlink" Target="https://youtube.com/shorts/dxAxpfX1gp0?feature=share" TargetMode="External"/><Relationship Id="rId6" Type="http://schemas.openxmlformats.org/officeDocument/2006/relationships/hyperlink" Target="https://youtube.com/shorts/bQ0B-3QwNak?feature=share" TargetMode="External"/><Relationship Id="rId7" Type="http://schemas.openxmlformats.org/officeDocument/2006/relationships/hyperlink" Target="https://youtube.com/shorts/fO8g28j7oEM?feature=share" TargetMode="External"/><Relationship Id="rId8" Type="http://schemas.openxmlformats.org/officeDocument/2006/relationships/hyperlink" Target="https://youtube.com/shorts/g3MrP-UlaWM?feature=share" TargetMode="External"/><Relationship Id="rId31" Type="http://schemas.openxmlformats.org/officeDocument/2006/relationships/hyperlink" Target="https://youtube.com/shorts/CY0aCY856xI?feature=share" TargetMode="External"/><Relationship Id="rId30" Type="http://schemas.openxmlformats.org/officeDocument/2006/relationships/hyperlink" Target="https://youtube.com/shorts/D_cTiY6rsEA?feature=share" TargetMode="External"/><Relationship Id="rId33" Type="http://schemas.openxmlformats.org/officeDocument/2006/relationships/hyperlink" Target="https://youtube.com/shorts/AOMSNPGwqzY?feature=share" TargetMode="External"/><Relationship Id="rId32" Type="http://schemas.openxmlformats.org/officeDocument/2006/relationships/hyperlink" Target="https://youtube.com/shorts/yTeFxKtx12Y?feature=share" TargetMode="External"/><Relationship Id="rId35" Type="http://schemas.openxmlformats.org/officeDocument/2006/relationships/hyperlink" Target="https://youtube.com/shorts/DgcOUrTPY74?feature=share" TargetMode="External"/><Relationship Id="rId34" Type="http://schemas.openxmlformats.org/officeDocument/2006/relationships/hyperlink" Target="https://youtube.com/shorts/G3Nlj1b5v9k?feature=share" TargetMode="External"/><Relationship Id="rId70" Type="http://schemas.openxmlformats.org/officeDocument/2006/relationships/table" Target="../tables/table3.xml"/><Relationship Id="rId37" Type="http://schemas.openxmlformats.org/officeDocument/2006/relationships/hyperlink" Target="https://youtube.com/shorts/Ja2RjLxBlrk?feature=share" TargetMode="External"/><Relationship Id="rId36" Type="http://schemas.openxmlformats.org/officeDocument/2006/relationships/hyperlink" Target="https://youtube.com/shorts/Uly1siESs34?feature=share" TargetMode="External"/><Relationship Id="rId39" Type="http://schemas.openxmlformats.org/officeDocument/2006/relationships/hyperlink" Target="https://youtube.com/shorts/ZUfNkKHmhIM?feature=share" TargetMode="External"/><Relationship Id="rId38" Type="http://schemas.openxmlformats.org/officeDocument/2006/relationships/hyperlink" Target="https://youtube.com/shorts/dPmOtIB1BBw?feature=share" TargetMode="External"/><Relationship Id="rId62" Type="http://schemas.openxmlformats.org/officeDocument/2006/relationships/hyperlink" Target="https://youtube.com/shorts/Wdds_Drm374?feature=share" TargetMode="External"/><Relationship Id="rId61" Type="http://schemas.openxmlformats.org/officeDocument/2006/relationships/hyperlink" Target="https://youtube.com/shorts/83n2A45pbJY?feature=share" TargetMode="External"/><Relationship Id="rId20" Type="http://schemas.openxmlformats.org/officeDocument/2006/relationships/hyperlink" Target="https://youtube.com/shorts/k5LfH_RuIiU?feature=share" TargetMode="External"/><Relationship Id="rId64" Type="http://schemas.openxmlformats.org/officeDocument/2006/relationships/hyperlink" Target="https://youtube.com/shorts/8TnrxZTbEyc?feature=share" TargetMode="External"/><Relationship Id="rId63" Type="http://schemas.openxmlformats.org/officeDocument/2006/relationships/hyperlink" Target="https://youtube.com/shorts/c7xk2lppJkQ?feature=share" TargetMode="External"/><Relationship Id="rId22" Type="http://schemas.openxmlformats.org/officeDocument/2006/relationships/hyperlink" Target="https://youtube.com/shorts/KmcItUpF7oU?feature=share" TargetMode="External"/><Relationship Id="rId66" Type="http://schemas.openxmlformats.org/officeDocument/2006/relationships/hyperlink" Target="https://youtube.com/shorts/JFSlGl0wJow?feature=share" TargetMode="External"/><Relationship Id="rId21" Type="http://schemas.openxmlformats.org/officeDocument/2006/relationships/hyperlink" Target="https://youtube.com/shorts/BZSzwKG-EJU?feature=share" TargetMode="External"/><Relationship Id="rId65" Type="http://schemas.openxmlformats.org/officeDocument/2006/relationships/hyperlink" Target="https://youtube.com/shorts/5RUf8OhXjPU?feature=share" TargetMode="External"/><Relationship Id="rId24" Type="http://schemas.openxmlformats.org/officeDocument/2006/relationships/hyperlink" Target="https://youtube.com/shorts/q0D7y2Ue13U?feature=share" TargetMode="External"/><Relationship Id="rId68" Type="http://schemas.openxmlformats.org/officeDocument/2006/relationships/drawing" Target="../drawings/drawing3.xml"/><Relationship Id="rId23" Type="http://schemas.openxmlformats.org/officeDocument/2006/relationships/hyperlink" Target="https://youtube.com/shorts/pv7cduW4d3g?feature=share" TargetMode="External"/><Relationship Id="rId67" Type="http://schemas.openxmlformats.org/officeDocument/2006/relationships/hyperlink" Target="https://youtube.com/shorts/IqxxlLGYbN4?feature=share" TargetMode="External"/><Relationship Id="rId60" Type="http://schemas.openxmlformats.org/officeDocument/2006/relationships/hyperlink" Target="https://youtube.com/shorts/c3b_6O30-8w?feature=share" TargetMode="External"/><Relationship Id="rId26" Type="http://schemas.openxmlformats.org/officeDocument/2006/relationships/hyperlink" Target="https://youtube.com/shorts/zjs_rJ9lhPU?feature=share" TargetMode="External"/><Relationship Id="rId25" Type="http://schemas.openxmlformats.org/officeDocument/2006/relationships/hyperlink" Target="https://youtube.com/shorts/TvFhXgRYLeE?feature=share" TargetMode="External"/><Relationship Id="rId28" Type="http://schemas.openxmlformats.org/officeDocument/2006/relationships/hyperlink" Target="https://youtube.com/shorts/lo8U7EDTtno?feature=share" TargetMode="External"/><Relationship Id="rId27" Type="http://schemas.openxmlformats.org/officeDocument/2006/relationships/hyperlink" Target="https://youtube.com/shorts/FODjjx_Q8fU?feature=share" TargetMode="External"/><Relationship Id="rId29" Type="http://schemas.openxmlformats.org/officeDocument/2006/relationships/hyperlink" Target="https://youtube.com/shorts/G3bMjLGY8Iw?feature=share" TargetMode="External"/><Relationship Id="rId51" Type="http://schemas.openxmlformats.org/officeDocument/2006/relationships/hyperlink" Target="https://youtube.com/shorts/6ZUkEnDncUU?feature=share" TargetMode="External"/><Relationship Id="rId50" Type="http://schemas.openxmlformats.org/officeDocument/2006/relationships/hyperlink" Target="https://youtube.com/shorts/kLmTsPdsRSU?feature=share" TargetMode="External"/><Relationship Id="rId53" Type="http://schemas.openxmlformats.org/officeDocument/2006/relationships/hyperlink" Target="https://youtube.com/shorts/pCc4TenE08U?feature=share" TargetMode="External"/><Relationship Id="rId52" Type="http://schemas.openxmlformats.org/officeDocument/2006/relationships/hyperlink" Target="https://youtube.com/shorts/u9zck7Fm9Ng?feature=share" TargetMode="External"/><Relationship Id="rId11" Type="http://schemas.openxmlformats.org/officeDocument/2006/relationships/hyperlink" Target="https://youtube.com/shorts/ZQmcytmHKaE?feature=share" TargetMode="External"/><Relationship Id="rId55" Type="http://schemas.openxmlformats.org/officeDocument/2006/relationships/hyperlink" Target="https://youtube.com/shorts/Dem7wt7cleU?feature=share" TargetMode="External"/><Relationship Id="rId10" Type="http://schemas.openxmlformats.org/officeDocument/2006/relationships/hyperlink" Target="https://youtube.com/shorts/NQt1ijYlImg?feature=share" TargetMode="External"/><Relationship Id="rId54" Type="http://schemas.openxmlformats.org/officeDocument/2006/relationships/hyperlink" Target="https://youtube.com/shorts/E19Ii_j1EQo?feature=share" TargetMode="External"/><Relationship Id="rId13" Type="http://schemas.openxmlformats.org/officeDocument/2006/relationships/hyperlink" Target="https://youtube.com/shorts/XOfsIh0-NUg?feature=share" TargetMode="External"/><Relationship Id="rId57" Type="http://schemas.openxmlformats.org/officeDocument/2006/relationships/hyperlink" Target="https://youtube.com/shorts/Wmx5dE9xW-I?feature=share" TargetMode="External"/><Relationship Id="rId12" Type="http://schemas.openxmlformats.org/officeDocument/2006/relationships/hyperlink" Target="https://youtube.com/shorts/tLZR08RCPdo?feature=share" TargetMode="External"/><Relationship Id="rId56" Type="http://schemas.openxmlformats.org/officeDocument/2006/relationships/hyperlink" Target="https://youtube.com/shorts/FAPqpxwU_JE?feature=share" TargetMode="External"/><Relationship Id="rId15" Type="http://schemas.openxmlformats.org/officeDocument/2006/relationships/hyperlink" Target="https://youtube.com/shorts/Tjf0FO1Wm0U?feature=share" TargetMode="External"/><Relationship Id="rId59" Type="http://schemas.openxmlformats.org/officeDocument/2006/relationships/hyperlink" Target="https://youtube.com/shorts/YvO-aZSFUxw?feature=share" TargetMode="External"/><Relationship Id="rId14" Type="http://schemas.openxmlformats.org/officeDocument/2006/relationships/hyperlink" Target="https://youtube.com/shorts/Sa21i1CDZSQ?feature=share" TargetMode="External"/><Relationship Id="rId58" Type="http://schemas.openxmlformats.org/officeDocument/2006/relationships/hyperlink" Target="https://youtube.com/shorts/3HlNFVccPuE?feature=share" TargetMode="External"/><Relationship Id="rId17" Type="http://schemas.openxmlformats.org/officeDocument/2006/relationships/hyperlink" Target="https://youtube.com/shorts/cZXJaTvDge4?feature=share" TargetMode="External"/><Relationship Id="rId16" Type="http://schemas.openxmlformats.org/officeDocument/2006/relationships/hyperlink" Target="https://youtube.com/shorts/eB-pywtS-UQ?feature=share" TargetMode="External"/><Relationship Id="rId19" Type="http://schemas.openxmlformats.org/officeDocument/2006/relationships/hyperlink" Target="https://youtube.com/shorts/fDxaOufARpc?feature=share" TargetMode="External"/><Relationship Id="rId18" Type="http://schemas.openxmlformats.org/officeDocument/2006/relationships/hyperlink" Target="https://youtube.com/shorts/8To1IOLEFjY?feature=shar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open?id=1qiHodH0dH0N44k8hgfts2zJaP-tqackK"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1.25"/>
    <col customWidth="1" min="2" max="2" width="11.5"/>
    <col customWidth="1" min="3" max="3" width="31.63"/>
    <col customWidth="1" min="4" max="4" width="12.63"/>
    <col customWidth="1" min="5" max="5" width="14.75"/>
    <col customWidth="1" min="6" max="6" width="10.63"/>
    <col customWidth="1" min="7" max="7" width="8.25"/>
    <col customWidth="1" min="8" max="9" width="9.0"/>
  </cols>
  <sheetData>
    <row r="1" ht="21.75" customHeight="1">
      <c r="A1" s="4" t="s">
        <v>0</v>
      </c>
      <c r="B1" s="6" t="s">
        <v>2</v>
      </c>
      <c r="C1" s="4" t="s">
        <v>5</v>
      </c>
      <c r="D1" s="9" t="s">
        <v>6</v>
      </c>
      <c r="E1" s="4" t="s">
        <v>7</v>
      </c>
      <c r="F1" s="12" t="s">
        <v>9</v>
      </c>
      <c r="G1" s="12" t="s">
        <v>10</v>
      </c>
      <c r="H1" s="12" t="s">
        <v>11</v>
      </c>
      <c r="I1" s="12" t="s">
        <v>12</v>
      </c>
    </row>
    <row r="2" ht="22.5" customHeight="1">
      <c r="A2" s="14" t="s">
        <v>13</v>
      </c>
      <c r="B2" s="16">
        <v>46299.0</v>
      </c>
      <c r="C2" s="30" t="str">
        <f t="array" ref="C2">_xlfn.XLOOKUP(_YouTube[Episode],'Contents 🖊️'!C:C,'Contents 🖊️'!E:E,"")</f>
        <v>Netcat -n Flag = Faster Scans(Skip DNS) #6</v>
      </c>
      <c r="D2" s="31" t="s">
        <v>22</v>
      </c>
      <c r="E2" s="37" t="str">
        <f t="array" ref="E2">_xlfn.XLOOKUP(_YouTube[Episode],'Contents 🖊️'!C:C,'Episodes ⏭️'!B:B,"")</f>
        <v>NETCAT Mastery </v>
      </c>
      <c r="F2" s="38" t="b">
        <v>1</v>
      </c>
      <c r="G2" s="38" t="b">
        <v>0</v>
      </c>
      <c r="H2" s="48">
        <f>Countif('Subtitles 🔍'!A:A,_YouTube[Episode])</f>
        <v>0</v>
      </c>
      <c r="I2" s="50" t="b">
        <v>1</v>
      </c>
    </row>
    <row r="3" ht="22.5" customHeight="1">
      <c r="A3" s="14" t="s">
        <v>40</v>
      </c>
      <c r="B3" s="16">
        <v>46299.0</v>
      </c>
      <c r="C3" s="30" t="str">
        <f t="array" ref="C3">_xlfn.XLOOKUP(_YouTube[Episode],'Contents 🖊️'!C:C,'Contents 🖊️'!E:E,"")</f>
        <v>Netcat Trick: Send a Message With One Line #8</v>
      </c>
      <c r="D3" s="31" t="s">
        <v>22</v>
      </c>
      <c r="E3" s="37" t="str">
        <f t="array" ref="E3">_xlfn.XLOOKUP(_YouTube[Episode],'Contents 🖊️'!C:C,'Episodes ⏭️'!B:B,"")</f>
        <v>NETCAT Mastery </v>
      </c>
      <c r="F3" s="38" t="b">
        <v>1</v>
      </c>
      <c r="G3" s="38" t="b">
        <v>0</v>
      </c>
      <c r="H3" s="48">
        <f>Countif('Subtitles 🔍'!A:A,_YouTube[Episode])</f>
        <v>0</v>
      </c>
      <c r="I3" s="50" t="b">
        <v>1</v>
      </c>
    </row>
    <row r="4" ht="22.5" customHeight="1">
      <c r="A4" s="14" t="s">
        <v>58</v>
      </c>
      <c r="B4" s="16">
        <v>46299.0</v>
      </c>
      <c r="C4" s="30" t="str">
        <f t="array" ref="C4">_xlfn.XLOOKUP(_YouTube[Episode],'Contents 🖊️'!C:C,'Contents 🖊️'!E:E,"")</f>
        <v>What If the Constant Never Changes? | Logic in Motion #13</v>
      </c>
      <c r="D4" s="31" t="s">
        <v>22</v>
      </c>
      <c r="E4" s="37" t="str">
        <f t="array" ref="E4">_xlfn.XLOOKUP(_YouTube[Episode],'Contents 🖊️'!C:C,'Episodes ⏭️'!B:B,"")</f>
        <v>Logic in Motion</v>
      </c>
      <c r="F4" s="38" t="b">
        <v>0</v>
      </c>
      <c r="G4" s="38" t="b">
        <v>1</v>
      </c>
      <c r="H4" s="48">
        <f>Countif('Subtitles 🔍'!A:A,_YouTube[Episode])</f>
        <v>0</v>
      </c>
      <c r="I4" s="50" t="b">
        <v>1</v>
      </c>
    </row>
    <row r="5" ht="22.5" customHeight="1">
      <c r="A5" s="14" t="s">
        <v>59</v>
      </c>
      <c r="B5" s="16">
        <v>46299.0</v>
      </c>
      <c r="C5" s="30" t="str">
        <f t="array" ref="C5">_xlfn.XLOOKUP(_YouTube[Episode],'Contents 🖊️'!C:C,'Contents 🖊️'!E:E,"")</f>
        <v>Nmap Default Scripts(-sC) Explained 🔍 #29</v>
      </c>
      <c r="D5" s="31" t="s">
        <v>22</v>
      </c>
      <c r="E5" s="61" t="str">
        <f t="array" ref="E5">_xlfn.XLOOKUP(_YouTube[Episode],'Contents 🖊️'!C:C,'Episodes ⏭️'!B:B,"")</f>
        <v>Master Nmap</v>
      </c>
      <c r="F5" s="38" t="b">
        <v>1</v>
      </c>
      <c r="G5" s="38" t="b">
        <v>0</v>
      </c>
      <c r="H5" s="48">
        <f>Countif('Subtitles 🔍'!A:A,_YouTube[Episode])</f>
        <v>0</v>
      </c>
      <c r="I5" s="50" t="b">
        <v>1</v>
      </c>
    </row>
    <row r="6" ht="22.5" customHeight="1">
      <c r="A6" s="14" t="s">
        <v>75</v>
      </c>
      <c r="B6" s="16">
        <v>46300.0</v>
      </c>
      <c r="C6" s="30" t="str">
        <f t="array" ref="C6">_xlfn.XLOOKUP(_YouTube[Episode],'Contents 🖊️'!C:C,'Contents 🖊️'!E:E,"")</f>
        <v>The Epitrochoid Lattice</v>
      </c>
      <c r="D6" s="31" t="s">
        <v>76</v>
      </c>
      <c r="E6" s="61" t="str">
        <f t="array" ref="E6">_xlfn.XLOOKUP(_YouTube[Episode],'Contents 🖊️'!C:C,'Episodes ⏭️'!B:B,"")</f>
        <v>Logic in Motion</v>
      </c>
      <c r="F6" s="38" t="b">
        <v>0</v>
      </c>
      <c r="G6" s="38" t="b">
        <v>1</v>
      </c>
      <c r="H6" s="48">
        <f>Countif('Subtitles 🔍'!A:A,_YouTube[Episode])</f>
        <v>0</v>
      </c>
      <c r="I6" s="50" t="b">
        <v>0</v>
      </c>
    </row>
    <row r="7" ht="22.5" customHeight="1">
      <c r="A7" s="14" t="s">
        <v>82</v>
      </c>
      <c r="B7" s="16">
        <v>46300.0</v>
      </c>
      <c r="C7" s="30" t="str">
        <f t="array" ref="C7">_xlfn.XLOOKUP(_YouTube[Episode],'Contents 🖊️'!C:C,'Contents 🖊️'!E:E,"")</f>
        <v>The Nephroid Web(Two-Cusp Epicycloid) | Logic in Motion #15</v>
      </c>
      <c r="D7" s="31" t="s">
        <v>76</v>
      </c>
      <c r="E7" s="61" t="str">
        <f t="array" ref="E7">_xlfn.XLOOKUP(_YouTube[Episode],'Contents 🖊️'!C:C,'Episodes ⏭️'!B:B,"")</f>
        <v>Logic in Motion</v>
      </c>
      <c r="F7" s="38" t="b">
        <v>0</v>
      </c>
      <c r="G7" s="38" t="b">
        <v>1</v>
      </c>
      <c r="H7" s="48">
        <f>Countif('Subtitles 🔍'!A:A,_YouTube[Episode])</f>
        <v>0</v>
      </c>
      <c r="I7" s="50" t="b">
        <v>0</v>
      </c>
    </row>
    <row r="8" ht="22.5" customHeight="1">
      <c r="A8" s="14" t="s">
        <v>97</v>
      </c>
      <c r="B8" s="16">
        <v>46300.0</v>
      </c>
      <c r="C8" s="30" t="str">
        <f t="array" ref="C8">_xlfn.XLOOKUP(_YouTube[Episode],'Contents 🖊️'!C:C,'Contents 🖊️'!E:E,"")</f>
        <v>The Hypnotic Three Cusp Star | Logic in Motion #16</v>
      </c>
      <c r="D8" s="31" t="s">
        <v>76</v>
      </c>
      <c r="E8" s="61" t="str">
        <f t="array" ref="E8">_xlfn.XLOOKUP(_YouTube[Episode],'Contents 🖊️'!C:C,'Episodes ⏭️'!B:B,"")</f>
        <v>Logic in Motion</v>
      </c>
      <c r="F8" s="38" t="b">
        <v>0</v>
      </c>
      <c r="G8" s="38" t="b">
        <v>1</v>
      </c>
      <c r="H8" s="48">
        <f>Countif('Subtitles 🔍'!A:A,_YouTube[Episode])</f>
        <v>0</v>
      </c>
      <c r="I8" s="50" t="b">
        <v>0</v>
      </c>
    </row>
    <row r="9" ht="22.5" customHeight="1">
      <c r="A9" s="14" t="s">
        <v>75</v>
      </c>
      <c r="B9" s="16">
        <v>46301.0</v>
      </c>
      <c r="C9" s="30" t="str">
        <f t="array" ref="C9">_xlfn.XLOOKUP(_YouTube[Episode],'Contents 🖊️'!C:C,'Contents 🖊️'!E:E,"")</f>
        <v>The Epitrochoid Lattice</v>
      </c>
      <c r="D9" s="31" t="s">
        <v>22</v>
      </c>
      <c r="E9" s="61" t="str">
        <f t="array" ref="E9">_xlfn.XLOOKUP(_YouTube[Episode],'Contents 🖊️'!C:C,'Episodes ⏭️'!B:B,"")</f>
        <v>Logic in Motion</v>
      </c>
      <c r="F9" s="38" t="b">
        <v>0</v>
      </c>
      <c r="G9" s="38" t="b">
        <v>1</v>
      </c>
      <c r="H9" s="48">
        <f>Countif('Subtitles 🔍'!A:A,_YouTube[Episode])</f>
        <v>0</v>
      </c>
      <c r="I9" s="50" t="b">
        <v>1</v>
      </c>
    </row>
    <row r="10" ht="22.5" customHeight="1">
      <c r="A10" s="71" t="s">
        <v>82</v>
      </c>
      <c r="B10" s="72">
        <v>46300.0</v>
      </c>
      <c r="C10" s="73" t="str">
        <f t="array" ref="C10">_xlfn.XLOOKUP('YouTube Main 📌'!$A$2:$A$10,'Contents 🖊️'!C:C,'Contents 🖊️'!E:E,"")</f>
        <v>The Nephroid Web(Two-Cusp Epicycloid) | Logic in Motion #15</v>
      </c>
      <c r="D10" s="74" t="s">
        <v>22</v>
      </c>
      <c r="E10" s="75" t="str">
        <f t="array" ref="E10">_xlfn.XLOOKUP('YouTube Main 📌'!$A$2:$A$10,'Contents 🖊️'!C:C,'Episodes ⏭️'!B:B,"")</f>
        <v>Logic in Motion</v>
      </c>
      <c r="F10" s="38" t="b">
        <v>0</v>
      </c>
      <c r="G10" s="38" t="b">
        <v>1</v>
      </c>
      <c r="H10" s="48">
        <f>Countif('Subtitles 🔍'!A:A,_YouTube[Episode])</f>
        <v>0</v>
      </c>
      <c r="I10" s="50" t="b">
        <v>0</v>
      </c>
    </row>
    <row r="11" ht="22.5" customHeight="1">
      <c r="A11" s="14" t="s">
        <v>97</v>
      </c>
      <c r="B11" s="16">
        <v>46300.0</v>
      </c>
      <c r="C11" s="30" t="str">
        <f t="array" ref="C11">_xlfn.XLOOKUP(_YouTube[Episode],'Contents 🖊️'!C:C,'Contents 🖊️'!E:E,"")</f>
        <v>The Hypnotic Three Cusp Star | Logic in Motion #16</v>
      </c>
      <c r="D11" s="31" t="s">
        <v>22</v>
      </c>
      <c r="E11" s="61" t="str">
        <f t="array" ref="E11">_xlfn.XLOOKUP(_YouTube[Episode],'Contents 🖊️'!C:C,'Episodes ⏭️'!B:B,"")</f>
        <v>Logic in Motion</v>
      </c>
      <c r="F11" s="38" t="b">
        <v>0</v>
      </c>
      <c r="G11" s="38" t="b">
        <v>1</v>
      </c>
      <c r="H11" s="48">
        <f>Countif('Subtitles 🔍'!A:A,_YouTube[Episode])</f>
        <v>0</v>
      </c>
      <c r="I11" s="50" t="b">
        <v>0</v>
      </c>
    </row>
    <row r="12" ht="22.5" customHeight="1">
      <c r="A12" s="14" t="s">
        <v>144</v>
      </c>
      <c r="B12" s="16">
        <v>46302.0</v>
      </c>
      <c r="C12" s="30" t="str">
        <f t="array" ref="C12">_xlfn.XLOOKUP(_YouTube[Episode],'Contents 🖊️'!C:C,'Contents 🖊️'!E:E,"")</f>
        <v>Netcat Fast Review | 19 Commands You Must Know #20</v>
      </c>
      <c r="D12" s="31" t="s">
        <v>76</v>
      </c>
      <c r="E12" s="61" t="str">
        <f t="array" ref="E12">_xlfn.XLOOKUP(_YouTube[Episode],'Contents 🖊️'!C:C,'Episodes ⏭️'!B:B,"")</f>
        <v>NETCAT Mastery </v>
      </c>
      <c r="F12" s="38" t="b">
        <v>1</v>
      </c>
      <c r="G12" s="38" t="b">
        <v>0</v>
      </c>
      <c r="H12" s="48">
        <f>Countif('Subtitles 🔍'!A:A,_YouTube[Episode])</f>
        <v>0</v>
      </c>
      <c r="I12" s="50" t="b">
        <v>1</v>
      </c>
    </row>
    <row r="13" ht="22.5" customHeight="1">
      <c r="A13" s="14" t="s">
        <v>150</v>
      </c>
      <c r="B13" s="16">
        <v>46303.0</v>
      </c>
      <c r="C13" s="30" t="str">
        <f t="array" ref="C13">_xlfn.XLOOKUP(_YouTube[Episode],'Contents 🖊️'!C:C,'Contents 🖊️'!E:E,"")</f>
        <v>OS Detection</v>
      </c>
      <c r="D13" s="31" t="s">
        <v>76</v>
      </c>
      <c r="E13" s="61" t="str">
        <f t="array" ref="E13">_xlfn.XLOOKUP(_YouTube[Episode],'Contents 🖊️'!C:C,'Episodes ⏭️'!B:B,"")</f>
        <v>Master Nmap</v>
      </c>
      <c r="F13" s="38" t="b">
        <v>1</v>
      </c>
      <c r="G13" s="38" t="b">
        <v>0</v>
      </c>
      <c r="H13" s="48">
        <f>Countif('Subtitles 🔍'!A:A,_YouTube[Episode])</f>
        <v>0</v>
      </c>
      <c r="I13" s="50" t="b">
        <v>0</v>
      </c>
    </row>
    <row r="14" ht="22.5" customHeight="1">
      <c r="A14" s="14" t="s">
        <v>161</v>
      </c>
      <c r="B14" s="16">
        <v>46302.0</v>
      </c>
      <c r="C14" s="30" t="str">
        <f t="array" ref="C14">_xlfn.XLOOKUP(_YouTube[Episode],'Contents 🖊️'!C:C,'Contents 🖊️'!E:E,"")</f>
        <v>The Lemniscate of Bernoulli</v>
      </c>
      <c r="D14" s="31" t="s">
        <v>163</v>
      </c>
      <c r="E14" s="61" t="str">
        <f t="array" ref="E14">_xlfn.XLOOKUP(_YouTube[Episode],'Contents 🖊️'!C:C,'Episodes ⏭️'!B:B,"")</f>
        <v>Logic in Motion</v>
      </c>
      <c r="F14" s="38" t="b">
        <v>1</v>
      </c>
      <c r="G14" s="38" t="b">
        <v>0</v>
      </c>
      <c r="H14" s="48">
        <f>Countif('Subtitles 🔍'!A:A,_YouTube[Episode])</f>
        <v>0</v>
      </c>
      <c r="I14" s="50" t="b">
        <v>0</v>
      </c>
    </row>
    <row r="15" ht="18.75" customHeight="1">
      <c r="A15" s="76"/>
      <c r="B15" s="77"/>
      <c r="C15" s="76"/>
      <c r="D15" s="78"/>
      <c r="E15" s="76"/>
      <c r="F15" s="79"/>
      <c r="G15" s="79"/>
      <c r="H15" s="79"/>
      <c r="I15" s="80"/>
    </row>
  </sheetData>
  <dataValidations>
    <dataValidation type="list" allowBlank="1" sqref="D2:D14">
      <formula1>"Public,Schedule,Private,Draft,Not List,Deleted,Edited"</formula1>
    </dataValidation>
    <dataValidation type="list" allowBlank="1" sqref="A2:A14">
      <formula1>#REF!</formula1>
    </dataValidation>
    <dataValidation type="custom" allowBlank="1" showDropDown="1" sqref="B2:B14">
      <formula1>OR(NOT(ISERROR(DATEVALUE(B2))), AND(ISNUMBER(B2), LEFT(CELL("format", B2))="D"))</formula1>
    </dataValidation>
    <dataValidation allowBlank="1" showDropDown="1" sqref="E2:E14"/>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hidden="1" min="1" max="1" width="27.5"/>
    <col customWidth="1" min="2" max="2" width="7.13"/>
    <col customWidth="1" min="3" max="3" width="21.88"/>
    <col customWidth="1" min="4" max="4" width="13.63"/>
    <col customWidth="1" min="5" max="5" width="16.0"/>
    <col customWidth="1" min="6" max="6" width="33.0"/>
    <col customWidth="1" min="7" max="7" width="17.38"/>
    <col customWidth="1" min="8" max="8" width="18.38"/>
    <col customWidth="1" min="9" max="9" width="14.5"/>
    <col customWidth="1" min="10" max="10" width="16.25"/>
    <col customWidth="1" min="11" max="12" width="13.88"/>
  </cols>
  <sheetData>
    <row r="1" ht="22.5" customHeight="1">
      <c r="A1" s="10" t="s">
        <v>3</v>
      </c>
      <c r="B1" s="10" t="s">
        <v>8</v>
      </c>
      <c r="C1" s="20" t="s">
        <v>0</v>
      </c>
      <c r="D1" s="23" t="s">
        <v>15</v>
      </c>
      <c r="E1" s="26" t="s">
        <v>5</v>
      </c>
      <c r="F1" s="10" t="s">
        <v>18</v>
      </c>
      <c r="G1" s="10" t="s">
        <v>20</v>
      </c>
      <c r="H1" s="35" t="s">
        <v>11</v>
      </c>
      <c r="I1" s="10" t="s">
        <v>28</v>
      </c>
      <c r="J1" s="10" t="s">
        <v>29</v>
      </c>
      <c r="K1" s="35" t="s">
        <v>10</v>
      </c>
      <c r="L1" s="35" t="s">
        <v>12</v>
      </c>
    </row>
    <row r="2" ht="50.25" customHeight="1">
      <c r="A2" s="40">
        <v>1.0</v>
      </c>
      <c r="B2" s="44" t="str">
        <f t="shared" ref="B2:B858" si="1"> "CNT" &amp; A2</f>
        <v>CNT1</v>
      </c>
      <c r="C2" s="46" t="s">
        <v>34</v>
      </c>
      <c r="D2" s="47" t="s">
        <v>36</v>
      </c>
      <c r="E2" s="49" t="s">
        <v>37</v>
      </c>
      <c r="F2" s="51" t="s">
        <v>38</v>
      </c>
      <c r="G2" s="52"/>
      <c r="H2" s="53"/>
      <c r="I2" s="54"/>
      <c r="J2" s="55"/>
      <c r="K2" s="53"/>
      <c r="L2" s="53"/>
    </row>
    <row r="3" ht="50.25" customHeight="1">
      <c r="A3" s="40"/>
      <c r="B3" s="44" t="str">
        <f t="shared" si="1"/>
        <v>CNT</v>
      </c>
      <c r="C3" s="46" t="s">
        <v>50</v>
      </c>
      <c r="D3" s="47" t="s">
        <v>36</v>
      </c>
      <c r="E3" s="49" t="s">
        <v>51</v>
      </c>
      <c r="F3" s="51" t="s">
        <v>52</v>
      </c>
      <c r="G3" s="52"/>
      <c r="H3" s="53"/>
      <c r="I3" s="54"/>
      <c r="J3" s="55"/>
      <c r="K3" s="53"/>
      <c r="L3" s="53"/>
    </row>
    <row r="4" ht="50.25" customHeight="1">
      <c r="A4" s="40"/>
      <c r="B4" s="44" t="str">
        <f t="shared" si="1"/>
        <v>CNT</v>
      </c>
      <c r="C4" s="46" t="s">
        <v>65</v>
      </c>
      <c r="D4" s="47" t="s">
        <v>36</v>
      </c>
      <c r="E4" s="49" t="s">
        <v>66</v>
      </c>
      <c r="F4" s="51" t="s">
        <v>67</v>
      </c>
      <c r="G4" s="52"/>
      <c r="H4" s="58"/>
      <c r="I4" s="54"/>
      <c r="J4" s="55"/>
      <c r="K4" s="58"/>
      <c r="L4" s="58"/>
    </row>
    <row r="5" ht="50.25" customHeight="1">
      <c r="A5" s="40"/>
      <c r="B5" s="44" t="str">
        <f t="shared" si="1"/>
        <v>CNT</v>
      </c>
      <c r="C5" s="46" t="s">
        <v>71</v>
      </c>
      <c r="D5" s="47" t="s">
        <v>36</v>
      </c>
      <c r="E5" s="49" t="s">
        <v>72</v>
      </c>
      <c r="F5" s="51" t="s">
        <v>73</v>
      </c>
      <c r="G5" s="52"/>
      <c r="H5" s="58"/>
      <c r="I5" s="54"/>
      <c r="J5" s="55"/>
      <c r="K5" s="58"/>
      <c r="L5" s="58"/>
    </row>
    <row r="6" ht="50.25" customHeight="1">
      <c r="A6" s="40"/>
      <c r="B6" s="44" t="str">
        <f t="shared" si="1"/>
        <v>CNT</v>
      </c>
      <c r="C6" s="46" t="s">
        <v>78</v>
      </c>
      <c r="D6" s="47" t="s">
        <v>36</v>
      </c>
      <c r="E6" s="49" t="s">
        <v>79</v>
      </c>
      <c r="F6" s="51" t="s">
        <v>80</v>
      </c>
      <c r="G6" s="52"/>
      <c r="H6" s="58"/>
      <c r="I6" s="54"/>
      <c r="J6" s="55"/>
      <c r="K6" s="58"/>
      <c r="L6" s="58"/>
    </row>
    <row r="7" ht="50.25" customHeight="1">
      <c r="A7" s="40"/>
      <c r="B7" s="44" t="str">
        <f t="shared" si="1"/>
        <v>CNT</v>
      </c>
      <c r="C7" s="46" t="s">
        <v>84</v>
      </c>
      <c r="D7" s="47" t="s">
        <v>36</v>
      </c>
      <c r="E7" s="49" t="s">
        <v>85</v>
      </c>
      <c r="F7" s="51" t="s">
        <v>89</v>
      </c>
      <c r="G7" s="52"/>
      <c r="H7" s="58"/>
      <c r="I7" s="54"/>
      <c r="J7" s="55"/>
      <c r="K7" s="58"/>
      <c r="L7" s="58"/>
    </row>
    <row r="8" ht="50.25" customHeight="1">
      <c r="A8" s="40"/>
      <c r="B8" s="44" t="str">
        <f t="shared" si="1"/>
        <v>CNT</v>
      </c>
      <c r="C8" s="46" t="s">
        <v>95</v>
      </c>
      <c r="D8" s="47" t="s">
        <v>36</v>
      </c>
      <c r="E8" s="49" t="s">
        <v>99</v>
      </c>
      <c r="F8" s="51" t="s">
        <v>101</v>
      </c>
      <c r="G8" s="52"/>
      <c r="H8" s="58"/>
      <c r="I8" s="54"/>
      <c r="J8" s="55"/>
      <c r="K8" s="58"/>
      <c r="L8" s="58"/>
    </row>
    <row r="9" ht="50.25" customHeight="1">
      <c r="A9" s="40"/>
      <c r="B9" s="44" t="str">
        <f t="shared" si="1"/>
        <v>CNT</v>
      </c>
      <c r="C9" s="46" t="s">
        <v>110</v>
      </c>
      <c r="D9" s="47" t="s">
        <v>36</v>
      </c>
      <c r="E9" s="49" t="s">
        <v>113</v>
      </c>
      <c r="F9" s="51" t="s">
        <v>114</v>
      </c>
      <c r="G9" s="52"/>
      <c r="H9" s="58"/>
      <c r="I9" s="54"/>
      <c r="J9" s="55"/>
      <c r="K9" s="58"/>
      <c r="L9" s="58"/>
    </row>
    <row r="10" ht="50.25" customHeight="1">
      <c r="A10" s="40"/>
      <c r="B10" s="44" t="str">
        <f t="shared" si="1"/>
        <v>CNT</v>
      </c>
      <c r="C10" s="46" t="s">
        <v>116</v>
      </c>
      <c r="D10" s="47" t="s">
        <v>36</v>
      </c>
      <c r="E10" s="49" t="s">
        <v>117</v>
      </c>
      <c r="F10" s="51" t="s">
        <v>118</v>
      </c>
      <c r="G10" s="52"/>
      <c r="H10" s="58"/>
      <c r="I10" s="54"/>
      <c r="J10" s="55"/>
      <c r="K10" s="58"/>
      <c r="L10" s="58"/>
    </row>
    <row r="11" ht="50.25" customHeight="1">
      <c r="A11" s="40"/>
      <c r="B11" s="44" t="str">
        <f t="shared" si="1"/>
        <v>CNT</v>
      </c>
      <c r="C11" s="46" t="s">
        <v>120</v>
      </c>
      <c r="D11" s="47" t="s">
        <v>36</v>
      </c>
      <c r="E11" s="49" t="s">
        <v>121</v>
      </c>
      <c r="F11" s="51" t="s">
        <v>122</v>
      </c>
      <c r="G11" s="52"/>
      <c r="H11" s="58"/>
      <c r="I11" s="54"/>
      <c r="J11" s="55"/>
      <c r="K11" s="58"/>
      <c r="L11" s="58"/>
    </row>
    <row r="12" ht="50.25" customHeight="1">
      <c r="A12" s="40"/>
      <c r="B12" s="44" t="str">
        <f t="shared" si="1"/>
        <v>CNT</v>
      </c>
      <c r="C12" s="46" t="s">
        <v>123</v>
      </c>
      <c r="D12" s="47" t="s">
        <v>36</v>
      </c>
      <c r="E12" s="49" t="s">
        <v>125</v>
      </c>
      <c r="F12" s="51" t="s">
        <v>126</v>
      </c>
      <c r="G12" s="52"/>
      <c r="H12" s="58"/>
      <c r="I12" s="54"/>
      <c r="J12" s="55"/>
      <c r="K12" s="58"/>
      <c r="L12" s="58"/>
    </row>
    <row r="13" ht="50.25" customHeight="1">
      <c r="A13" s="40"/>
      <c r="B13" s="44" t="str">
        <f t="shared" si="1"/>
        <v>CNT</v>
      </c>
      <c r="C13" s="46" t="s">
        <v>127</v>
      </c>
      <c r="D13" s="47" t="s">
        <v>36</v>
      </c>
      <c r="E13" s="49" t="s">
        <v>128</v>
      </c>
      <c r="F13" s="51" t="s">
        <v>130</v>
      </c>
      <c r="G13" s="52"/>
      <c r="H13" s="58"/>
      <c r="I13" s="54"/>
      <c r="J13" s="55"/>
      <c r="K13" s="58"/>
      <c r="L13" s="58"/>
    </row>
    <row r="14" ht="50.25" customHeight="1">
      <c r="A14" s="40"/>
      <c r="B14" s="44" t="str">
        <f t="shared" si="1"/>
        <v>CNT</v>
      </c>
      <c r="C14" s="46" t="s">
        <v>131</v>
      </c>
      <c r="D14" s="47" t="s">
        <v>36</v>
      </c>
      <c r="E14" s="49" t="s">
        <v>133</v>
      </c>
      <c r="F14" s="51" t="s">
        <v>134</v>
      </c>
      <c r="G14" s="52"/>
      <c r="H14" s="58"/>
      <c r="I14" s="54"/>
      <c r="J14" s="55"/>
      <c r="K14" s="58"/>
      <c r="L14" s="58"/>
    </row>
    <row r="15" ht="50.25" customHeight="1">
      <c r="A15" s="40"/>
      <c r="B15" s="44" t="str">
        <f t="shared" si="1"/>
        <v>CNT</v>
      </c>
      <c r="C15" s="46" t="s">
        <v>136</v>
      </c>
      <c r="D15" s="47" t="s">
        <v>36</v>
      </c>
      <c r="E15" s="49" t="s">
        <v>137</v>
      </c>
      <c r="F15" s="51" t="s">
        <v>138</v>
      </c>
      <c r="G15" s="52"/>
      <c r="H15" s="58"/>
      <c r="I15" s="54"/>
      <c r="J15" s="55"/>
      <c r="K15" s="58"/>
      <c r="L15" s="58"/>
    </row>
    <row r="16" ht="50.25" customHeight="1">
      <c r="A16" s="40"/>
      <c r="B16" s="44" t="str">
        <f t="shared" si="1"/>
        <v>CNT</v>
      </c>
      <c r="C16" s="46" t="s">
        <v>140</v>
      </c>
      <c r="D16" s="47" t="s">
        <v>36</v>
      </c>
      <c r="E16" s="49" t="s">
        <v>141</v>
      </c>
      <c r="F16" s="51" t="s">
        <v>143</v>
      </c>
      <c r="G16" s="52"/>
      <c r="H16" s="58"/>
      <c r="I16" s="54"/>
      <c r="J16" s="55"/>
      <c r="K16" s="58"/>
      <c r="L16" s="58"/>
    </row>
    <row r="17" ht="50.25" customHeight="1">
      <c r="A17" s="40"/>
      <c r="B17" s="44" t="str">
        <f t="shared" si="1"/>
        <v>CNT</v>
      </c>
      <c r="C17" s="46" t="s">
        <v>145</v>
      </c>
      <c r="D17" s="47" t="s">
        <v>36</v>
      </c>
      <c r="E17" s="49" t="s">
        <v>146</v>
      </c>
      <c r="F17" s="51" t="s">
        <v>148</v>
      </c>
      <c r="G17" s="52"/>
      <c r="H17" s="58"/>
      <c r="I17" s="54"/>
      <c r="J17" s="55"/>
      <c r="K17" s="58"/>
      <c r="L17" s="58"/>
    </row>
    <row r="18" ht="50.25" customHeight="1">
      <c r="A18" s="40"/>
      <c r="B18" s="44" t="str">
        <f t="shared" si="1"/>
        <v>CNT</v>
      </c>
      <c r="C18" s="46" t="s">
        <v>151</v>
      </c>
      <c r="D18" s="47" t="s">
        <v>36</v>
      </c>
      <c r="E18" s="49" t="s">
        <v>152</v>
      </c>
      <c r="F18" s="51" t="s">
        <v>153</v>
      </c>
      <c r="G18" s="52"/>
      <c r="H18" s="58"/>
      <c r="I18" s="54"/>
      <c r="J18" s="55"/>
      <c r="K18" s="58"/>
      <c r="L18" s="58"/>
    </row>
    <row r="19" ht="50.25" customHeight="1">
      <c r="A19" s="40"/>
      <c r="B19" s="44" t="str">
        <f t="shared" si="1"/>
        <v>CNT</v>
      </c>
      <c r="C19" s="46" t="s">
        <v>155</v>
      </c>
      <c r="D19" s="47" t="s">
        <v>36</v>
      </c>
      <c r="E19" s="49" t="s">
        <v>156</v>
      </c>
      <c r="F19" s="51" t="s">
        <v>157</v>
      </c>
      <c r="G19" s="52"/>
      <c r="H19" s="58"/>
      <c r="I19" s="54"/>
      <c r="J19" s="55"/>
      <c r="K19" s="58"/>
      <c r="L19" s="58"/>
    </row>
    <row r="20" ht="50.25" customHeight="1">
      <c r="A20" s="40"/>
      <c r="B20" s="44" t="str">
        <f t="shared" si="1"/>
        <v>CNT</v>
      </c>
      <c r="C20" s="46" t="s">
        <v>158</v>
      </c>
      <c r="D20" s="47" t="s">
        <v>36</v>
      </c>
      <c r="E20" s="49" t="s">
        <v>160</v>
      </c>
      <c r="F20" s="51" t="s">
        <v>162</v>
      </c>
      <c r="G20" s="52"/>
      <c r="H20" s="58"/>
      <c r="I20" s="54"/>
      <c r="J20" s="55"/>
      <c r="K20" s="58"/>
      <c r="L20" s="58"/>
    </row>
    <row r="21" ht="50.25" customHeight="1">
      <c r="A21" s="40"/>
      <c r="B21" s="44" t="str">
        <f t="shared" si="1"/>
        <v>CNT</v>
      </c>
      <c r="C21" s="46" t="s">
        <v>164</v>
      </c>
      <c r="D21" s="47" t="s">
        <v>36</v>
      </c>
      <c r="E21" s="49" t="s">
        <v>165</v>
      </c>
      <c r="F21" s="51" t="s">
        <v>167</v>
      </c>
      <c r="G21" s="52"/>
      <c r="H21" s="58"/>
      <c r="I21" s="54"/>
      <c r="J21" s="55"/>
      <c r="K21" s="58"/>
      <c r="L21" s="58"/>
    </row>
    <row r="22" ht="50.25" customHeight="1">
      <c r="A22" s="40"/>
      <c r="B22" s="44" t="str">
        <f t="shared" si="1"/>
        <v>CNT</v>
      </c>
      <c r="C22" s="46" t="s">
        <v>169</v>
      </c>
      <c r="D22" s="47" t="s">
        <v>36</v>
      </c>
      <c r="E22" s="49" t="s">
        <v>170</v>
      </c>
      <c r="F22" s="51" t="s">
        <v>171</v>
      </c>
      <c r="G22" s="52"/>
      <c r="H22" s="58"/>
      <c r="I22" s="54"/>
      <c r="J22" s="55"/>
      <c r="K22" s="58"/>
      <c r="L22" s="58"/>
    </row>
    <row r="23" ht="50.25" customHeight="1">
      <c r="A23" s="40"/>
      <c r="B23" s="44" t="str">
        <f t="shared" si="1"/>
        <v>CNT</v>
      </c>
      <c r="C23" s="46" t="s">
        <v>173</v>
      </c>
      <c r="D23" s="47" t="s">
        <v>36</v>
      </c>
      <c r="E23" s="49" t="s">
        <v>174</v>
      </c>
      <c r="F23" s="51" t="s">
        <v>175</v>
      </c>
      <c r="G23" s="52"/>
      <c r="H23" s="58"/>
      <c r="I23" s="54"/>
      <c r="J23" s="55"/>
      <c r="K23" s="58"/>
      <c r="L23" s="58"/>
    </row>
    <row r="24" ht="50.25" customHeight="1">
      <c r="A24" s="40"/>
      <c r="B24" s="44" t="str">
        <f t="shared" si="1"/>
        <v>CNT</v>
      </c>
      <c r="C24" s="46" t="s">
        <v>177</v>
      </c>
      <c r="D24" s="47" t="s">
        <v>36</v>
      </c>
      <c r="E24" s="49" t="s">
        <v>178</v>
      </c>
      <c r="F24" s="51" t="s">
        <v>179</v>
      </c>
      <c r="G24" s="52"/>
      <c r="H24" s="58"/>
      <c r="I24" s="54"/>
      <c r="J24" s="55"/>
      <c r="K24" s="58"/>
      <c r="L24" s="58"/>
    </row>
    <row r="25" ht="50.25" customHeight="1">
      <c r="A25" s="40"/>
      <c r="B25" s="44" t="str">
        <f t="shared" si="1"/>
        <v>CNT</v>
      </c>
      <c r="C25" s="46" t="s">
        <v>181</v>
      </c>
      <c r="D25" s="47" t="s">
        <v>36</v>
      </c>
      <c r="E25" s="49" t="s">
        <v>182</v>
      </c>
      <c r="F25" s="51" t="s">
        <v>183</v>
      </c>
      <c r="G25" s="52"/>
      <c r="H25" s="58"/>
      <c r="I25" s="54"/>
      <c r="J25" s="55"/>
      <c r="K25" s="58"/>
      <c r="L25" s="58"/>
    </row>
    <row r="26" ht="50.25" customHeight="1">
      <c r="A26" s="40"/>
      <c r="B26" s="44" t="str">
        <f t="shared" si="1"/>
        <v>CNT</v>
      </c>
      <c r="C26" s="46" t="s">
        <v>186</v>
      </c>
      <c r="D26" s="47" t="s">
        <v>36</v>
      </c>
      <c r="E26" s="49" t="s">
        <v>188</v>
      </c>
      <c r="F26" s="51" t="s">
        <v>189</v>
      </c>
      <c r="G26" s="52"/>
      <c r="H26" s="58"/>
      <c r="I26" s="54"/>
      <c r="J26" s="55"/>
      <c r="K26" s="58"/>
      <c r="L26" s="58"/>
    </row>
    <row r="27" ht="50.25" customHeight="1">
      <c r="A27" s="40"/>
      <c r="B27" s="44" t="str">
        <f t="shared" si="1"/>
        <v>CNT</v>
      </c>
      <c r="C27" s="46" t="s">
        <v>194</v>
      </c>
      <c r="D27" s="47" t="s">
        <v>36</v>
      </c>
      <c r="E27" s="49" t="s">
        <v>196</v>
      </c>
      <c r="F27" s="51" t="s">
        <v>197</v>
      </c>
      <c r="G27" s="52"/>
      <c r="H27" s="58"/>
      <c r="I27" s="54"/>
      <c r="J27" s="55"/>
      <c r="K27" s="58"/>
      <c r="L27" s="58"/>
    </row>
    <row r="28" ht="50.25" customHeight="1">
      <c r="A28" s="40"/>
      <c r="B28" s="44" t="str">
        <f t="shared" si="1"/>
        <v>CNT</v>
      </c>
      <c r="C28" s="46" t="s">
        <v>200</v>
      </c>
      <c r="D28" s="47" t="s">
        <v>36</v>
      </c>
      <c r="E28" s="49" t="s">
        <v>201</v>
      </c>
      <c r="F28" s="51" t="s">
        <v>202</v>
      </c>
      <c r="G28" s="52"/>
      <c r="H28" s="58"/>
      <c r="I28" s="54"/>
      <c r="J28" s="55"/>
      <c r="K28" s="58"/>
      <c r="L28" s="58"/>
    </row>
    <row r="29" ht="50.25" customHeight="1">
      <c r="A29" s="40"/>
      <c r="B29" s="44" t="str">
        <f t="shared" si="1"/>
        <v>CNT</v>
      </c>
      <c r="C29" s="46" t="s">
        <v>204</v>
      </c>
      <c r="D29" s="47" t="s">
        <v>36</v>
      </c>
      <c r="E29" s="49" t="s">
        <v>206</v>
      </c>
      <c r="F29" s="51" t="s">
        <v>207</v>
      </c>
      <c r="G29" s="52"/>
      <c r="H29" s="58"/>
      <c r="I29" s="54"/>
      <c r="J29" s="55"/>
      <c r="K29" s="58"/>
      <c r="L29" s="58"/>
    </row>
    <row r="30" ht="50.25" customHeight="1">
      <c r="A30" s="40"/>
      <c r="B30" s="44" t="str">
        <f t="shared" si="1"/>
        <v>CNT</v>
      </c>
      <c r="C30" s="46" t="s">
        <v>210</v>
      </c>
      <c r="D30" s="47" t="s">
        <v>36</v>
      </c>
      <c r="E30" s="49" t="s">
        <v>212</v>
      </c>
      <c r="F30" s="51" t="s">
        <v>213</v>
      </c>
      <c r="G30" s="52"/>
      <c r="H30" s="58"/>
      <c r="I30" s="54"/>
      <c r="J30" s="55"/>
      <c r="K30" s="58"/>
      <c r="L30" s="58"/>
    </row>
    <row r="31" ht="50.25" customHeight="1">
      <c r="A31" s="40"/>
      <c r="B31" s="44" t="str">
        <f t="shared" si="1"/>
        <v>CNT</v>
      </c>
      <c r="C31" s="46" t="s">
        <v>214</v>
      </c>
      <c r="D31" s="47" t="s">
        <v>36</v>
      </c>
      <c r="E31" s="49" t="s">
        <v>216</v>
      </c>
      <c r="F31" s="51" t="s">
        <v>217</v>
      </c>
      <c r="G31" s="52"/>
      <c r="H31" s="58"/>
      <c r="I31" s="54"/>
      <c r="J31" s="55"/>
      <c r="K31" s="58"/>
      <c r="L31" s="58"/>
    </row>
    <row r="32" ht="50.25" customHeight="1">
      <c r="A32" s="40"/>
      <c r="B32" s="44" t="str">
        <f t="shared" si="1"/>
        <v>CNT</v>
      </c>
      <c r="C32" s="46" t="s">
        <v>59</v>
      </c>
      <c r="D32" s="47" t="s">
        <v>36</v>
      </c>
      <c r="E32" s="49" t="s">
        <v>220</v>
      </c>
      <c r="F32" s="51" t="s">
        <v>221</v>
      </c>
      <c r="G32" s="52" t="s">
        <v>223</v>
      </c>
      <c r="H32" s="58"/>
      <c r="I32" s="54"/>
      <c r="J32" s="55"/>
      <c r="K32" s="58"/>
      <c r="L32" s="58"/>
    </row>
    <row r="33" ht="50.25" customHeight="1">
      <c r="A33" s="40"/>
      <c r="B33" s="44" t="str">
        <f t="shared" si="1"/>
        <v>CNT</v>
      </c>
      <c r="C33" s="46" t="s">
        <v>150</v>
      </c>
      <c r="D33" s="47" t="s">
        <v>36</v>
      </c>
      <c r="E33" s="49" t="s">
        <v>225</v>
      </c>
      <c r="F33" s="51"/>
      <c r="G33" s="52"/>
      <c r="H33" s="58"/>
      <c r="I33" s="54"/>
      <c r="J33" s="55"/>
      <c r="K33" s="58"/>
      <c r="L33" s="58"/>
    </row>
    <row r="34" ht="50.25" customHeight="1">
      <c r="A34" s="40"/>
      <c r="B34" s="44" t="str">
        <f t="shared" si="1"/>
        <v>CNT</v>
      </c>
      <c r="C34" s="46" t="s">
        <v>228</v>
      </c>
      <c r="D34" s="47" t="s">
        <v>36</v>
      </c>
      <c r="E34" s="49" t="s">
        <v>229</v>
      </c>
      <c r="F34" s="51"/>
      <c r="G34" s="52"/>
      <c r="H34" s="58"/>
      <c r="I34" s="54"/>
      <c r="J34" s="55"/>
      <c r="K34" s="58"/>
      <c r="L34" s="58"/>
    </row>
    <row r="35" ht="50.25" customHeight="1">
      <c r="A35" s="40"/>
      <c r="B35" s="44" t="str">
        <f t="shared" si="1"/>
        <v>CNT</v>
      </c>
      <c r="C35" s="46" t="s">
        <v>232</v>
      </c>
      <c r="D35" s="47" t="s">
        <v>36</v>
      </c>
      <c r="E35" s="96" t="s">
        <v>235</v>
      </c>
      <c r="F35" s="51"/>
      <c r="G35" s="52"/>
      <c r="H35" s="58"/>
      <c r="I35" s="54"/>
      <c r="J35" s="55"/>
      <c r="K35" s="58"/>
      <c r="L35" s="58"/>
    </row>
    <row r="36" ht="50.25" customHeight="1">
      <c r="A36" s="40"/>
      <c r="B36" s="44" t="str">
        <f t="shared" si="1"/>
        <v>CNT</v>
      </c>
      <c r="C36" s="46" t="s">
        <v>241</v>
      </c>
      <c r="D36" s="47" t="s">
        <v>36</v>
      </c>
      <c r="E36" s="96" t="s">
        <v>242</v>
      </c>
      <c r="F36" s="51"/>
      <c r="G36" s="52"/>
      <c r="H36" s="58"/>
      <c r="I36" s="54"/>
      <c r="J36" s="55"/>
      <c r="K36" s="58"/>
      <c r="L36" s="58"/>
    </row>
    <row r="37" ht="50.25" customHeight="1">
      <c r="A37" s="40"/>
      <c r="B37" s="44" t="str">
        <f t="shared" si="1"/>
        <v>CNT</v>
      </c>
      <c r="C37" s="46" t="s">
        <v>247</v>
      </c>
      <c r="D37" s="47" t="s">
        <v>36</v>
      </c>
      <c r="E37" s="96" t="s">
        <v>248</v>
      </c>
      <c r="F37" s="51"/>
      <c r="G37" s="52"/>
      <c r="H37" s="58"/>
      <c r="I37" s="54"/>
      <c r="J37" s="55"/>
      <c r="K37" s="58"/>
      <c r="L37" s="58"/>
    </row>
    <row r="38" ht="50.25" customHeight="1">
      <c r="A38" s="40"/>
      <c r="B38" s="44" t="str">
        <f t="shared" si="1"/>
        <v>CNT</v>
      </c>
      <c r="C38" s="46" t="s">
        <v>252</v>
      </c>
      <c r="D38" s="47" t="s">
        <v>36</v>
      </c>
      <c r="E38" s="96" t="s">
        <v>248</v>
      </c>
      <c r="F38" s="51"/>
      <c r="G38" s="52"/>
      <c r="H38" s="58"/>
      <c r="I38" s="54"/>
      <c r="J38" s="55"/>
      <c r="K38" s="58"/>
      <c r="L38" s="58"/>
    </row>
    <row r="39" ht="50.25" customHeight="1">
      <c r="A39" s="40"/>
      <c r="B39" s="44" t="str">
        <f t="shared" si="1"/>
        <v>CNT</v>
      </c>
      <c r="C39" s="46" t="s">
        <v>255</v>
      </c>
      <c r="D39" s="47" t="s">
        <v>36</v>
      </c>
      <c r="E39" s="96" t="s">
        <v>248</v>
      </c>
      <c r="F39" s="51"/>
      <c r="G39" s="52"/>
      <c r="H39" s="58"/>
      <c r="I39" s="54"/>
      <c r="J39" s="55"/>
      <c r="K39" s="58"/>
      <c r="L39" s="58"/>
    </row>
    <row r="40" ht="50.25" customHeight="1">
      <c r="A40" s="40"/>
      <c r="B40" s="44" t="str">
        <f t="shared" si="1"/>
        <v>CNT</v>
      </c>
      <c r="C40" s="46" t="s">
        <v>259</v>
      </c>
      <c r="D40" s="47" t="s">
        <v>36</v>
      </c>
      <c r="E40" s="96" t="s">
        <v>260</v>
      </c>
      <c r="F40" s="51"/>
      <c r="G40" s="52"/>
      <c r="H40" s="58"/>
      <c r="I40" s="54"/>
      <c r="J40" s="55"/>
      <c r="K40" s="58"/>
      <c r="L40" s="58"/>
    </row>
    <row r="41" ht="50.25" customHeight="1">
      <c r="A41" s="40"/>
      <c r="B41" s="44" t="str">
        <f t="shared" si="1"/>
        <v>CNT</v>
      </c>
      <c r="C41" s="46" t="s">
        <v>263</v>
      </c>
      <c r="D41" s="47" t="s">
        <v>36</v>
      </c>
      <c r="E41" s="96" t="s">
        <v>264</v>
      </c>
      <c r="F41" s="51"/>
      <c r="G41" s="52"/>
      <c r="H41" s="58"/>
      <c r="I41" s="54"/>
      <c r="J41" s="55"/>
      <c r="K41" s="58"/>
      <c r="L41" s="58"/>
    </row>
    <row r="42" ht="50.25" customHeight="1">
      <c r="A42" s="40"/>
      <c r="B42" s="44" t="str">
        <f t="shared" si="1"/>
        <v>CNT</v>
      </c>
      <c r="C42" s="46" t="s">
        <v>266</v>
      </c>
      <c r="D42" s="47" t="s">
        <v>36</v>
      </c>
      <c r="E42" s="96" t="s">
        <v>267</v>
      </c>
      <c r="F42" s="51"/>
      <c r="G42" s="52"/>
      <c r="H42" s="58"/>
      <c r="I42" s="54"/>
      <c r="J42" s="55"/>
      <c r="K42" s="58"/>
      <c r="L42" s="58"/>
    </row>
    <row r="43" ht="50.25" customHeight="1">
      <c r="A43" s="40"/>
      <c r="B43" s="44" t="str">
        <f t="shared" si="1"/>
        <v>CNT</v>
      </c>
      <c r="C43" s="46" t="s">
        <v>269</v>
      </c>
      <c r="D43" s="47" t="s">
        <v>36</v>
      </c>
      <c r="E43" s="96" t="s">
        <v>270</v>
      </c>
      <c r="F43" s="51"/>
      <c r="G43" s="52"/>
      <c r="H43" s="58"/>
      <c r="I43" s="54"/>
      <c r="J43" s="55"/>
      <c r="K43" s="58"/>
      <c r="L43" s="58"/>
    </row>
    <row r="44" ht="50.25" customHeight="1">
      <c r="A44" s="40"/>
      <c r="B44" s="44" t="str">
        <f t="shared" si="1"/>
        <v>CNT</v>
      </c>
      <c r="C44" s="46" t="s">
        <v>271</v>
      </c>
      <c r="D44" s="47" t="s">
        <v>36</v>
      </c>
      <c r="E44" s="49" t="s">
        <v>272</v>
      </c>
      <c r="F44" s="51" t="s">
        <v>274</v>
      </c>
      <c r="G44" s="52"/>
      <c r="H44" s="58"/>
      <c r="I44" s="54"/>
      <c r="J44" s="55"/>
      <c r="K44" s="58"/>
      <c r="L44" s="58"/>
    </row>
    <row r="45" ht="50.25" customHeight="1">
      <c r="A45" s="40"/>
      <c r="B45" s="44" t="str">
        <f t="shared" si="1"/>
        <v>CNT</v>
      </c>
      <c r="C45" s="46" t="s">
        <v>275</v>
      </c>
      <c r="D45" s="47" t="s">
        <v>36</v>
      </c>
      <c r="E45" s="49" t="s">
        <v>276</v>
      </c>
      <c r="F45" s="51" t="s">
        <v>277</v>
      </c>
      <c r="G45" s="52"/>
      <c r="H45" s="58"/>
      <c r="I45" s="54"/>
      <c r="J45" s="55"/>
      <c r="K45" s="58"/>
      <c r="L45" s="58"/>
    </row>
    <row r="46" ht="50.25" customHeight="1">
      <c r="A46" s="40"/>
      <c r="B46" s="44" t="str">
        <f t="shared" si="1"/>
        <v>CNT</v>
      </c>
      <c r="C46" s="46" t="s">
        <v>279</v>
      </c>
      <c r="D46" s="47" t="s">
        <v>36</v>
      </c>
      <c r="E46" s="49" t="s">
        <v>280</v>
      </c>
      <c r="F46" s="51" t="s">
        <v>282</v>
      </c>
      <c r="G46" s="52"/>
      <c r="H46" s="58"/>
      <c r="I46" s="54"/>
      <c r="J46" s="55"/>
      <c r="K46" s="58"/>
      <c r="L46" s="58"/>
    </row>
    <row r="47" ht="50.25" customHeight="1">
      <c r="A47" s="40"/>
      <c r="B47" s="44" t="str">
        <f t="shared" si="1"/>
        <v>CNT</v>
      </c>
      <c r="C47" s="46" t="s">
        <v>288</v>
      </c>
      <c r="D47" s="47" t="s">
        <v>36</v>
      </c>
      <c r="E47" s="49" t="s">
        <v>289</v>
      </c>
      <c r="F47" s="51" t="s">
        <v>291</v>
      </c>
      <c r="G47" s="52"/>
      <c r="H47" s="58"/>
      <c r="I47" s="54"/>
      <c r="J47" s="55"/>
      <c r="K47" s="58"/>
      <c r="L47" s="58"/>
    </row>
    <row r="48" ht="50.25" customHeight="1">
      <c r="A48" s="40"/>
      <c r="B48" s="44" t="str">
        <f t="shared" si="1"/>
        <v>CNT</v>
      </c>
      <c r="C48" s="46" t="s">
        <v>297</v>
      </c>
      <c r="D48" s="47" t="s">
        <v>36</v>
      </c>
      <c r="E48" s="49" t="s">
        <v>300</v>
      </c>
      <c r="F48" s="51" t="s">
        <v>301</v>
      </c>
      <c r="G48" s="52"/>
      <c r="H48" s="58"/>
      <c r="I48" s="54"/>
      <c r="J48" s="55"/>
      <c r="K48" s="58"/>
      <c r="L48" s="58"/>
    </row>
    <row r="49" ht="50.25" customHeight="1">
      <c r="A49" s="40"/>
      <c r="B49" s="44" t="str">
        <f t="shared" si="1"/>
        <v>CNT</v>
      </c>
      <c r="C49" s="46" t="s">
        <v>304</v>
      </c>
      <c r="D49" s="47" t="s">
        <v>36</v>
      </c>
      <c r="E49" s="49" t="s">
        <v>305</v>
      </c>
      <c r="F49" s="51" t="s">
        <v>307</v>
      </c>
      <c r="G49" s="52"/>
      <c r="H49" s="58"/>
      <c r="I49" s="54"/>
      <c r="J49" s="55"/>
      <c r="K49" s="58"/>
      <c r="L49" s="58"/>
    </row>
    <row r="50" ht="50.25" customHeight="1">
      <c r="A50" s="40"/>
      <c r="B50" s="44" t="str">
        <f t="shared" si="1"/>
        <v>CNT</v>
      </c>
      <c r="C50" s="46" t="s">
        <v>308</v>
      </c>
      <c r="D50" s="47" t="s">
        <v>36</v>
      </c>
      <c r="E50" s="49" t="s">
        <v>310</v>
      </c>
      <c r="F50" s="51" t="s">
        <v>311</v>
      </c>
      <c r="G50" s="52"/>
      <c r="H50" s="58"/>
      <c r="I50" s="54"/>
      <c r="J50" s="55"/>
      <c r="K50" s="58"/>
      <c r="L50" s="58"/>
    </row>
    <row r="51" ht="50.25" customHeight="1">
      <c r="A51" s="40"/>
      <c r="B51" s="44" t="str">
        <f t="shared" si="1"/>
        <v>CNT</v>
      </c>
      <c r="C51" s="46" t="s">
        <v>312</v>
      </c>
      <c r="D51" s="47" t="s">
        <v>36</v>
      </c>
      <c r="E51" s="49" t="s">
        <v>313</v>
      </c>
      <c r="F51" s="51" t="s">
        <v>314</v>
      </c>
      <c r="G51" s="52"/>
      <c r="H51" s="58"/>
      <c r="I51" s="54"/>
      <c r="J51" s="55"/>
      <c r="K51" s="58"/>
      <c r="L51" s="58"/>
    </row>
    <row r="52" ht="50.25" customHeight="1">
      <c r="A52" s="40"/>
      <c r="B52" s="44" t="str">
        <f t="shared" si="1"/>
        <v>CNT</v>
      </c>
      <c r="C52" s="46" t="s">
        <v>318</v>
      </c>
      <c r="D52" s="47" t="s">
        <v>36</v>
      </c>
      <c r="E52" s="49" t="s">
        <v>321</v>
      </c>
      <c r="F52" s="51" t="s">
        <v>322</v>
      </c>
      <c r="G52" s="52"/>
      <c r="H52" s="58"/>
      <c r="I52" s="54"/>
      <c r="J52" s="55"/>
      <c r="K52" s="58"/>
      <c r="L52" s="58"/>
    </row>
    <row r="53" ht="50.25" customHeight="1">
      <c r="A53" s="40"/>
      <c r="B53" s="44" t="str">
        <f t="shared" si="1"/>
        <v>CNT</v>
      </c>
      <c r="C53" s="46" t="s">
        <v>325</v>
      </c>
      <c r="D53" s="47" t="s">
        <v>36</v>
      </c>
      <c r="E53" s="49" t="s">
        <v>326</v>
      </c>
      <c r="F53" s="51" t="s">
        <v>327</v>
      </c>
      <c r="G53" s="52"/>
      <c r="H53" s="58"/>
      <c r="I53" s="54"/>
      <c r="J53" s="55"/>
      <c r="K53" s="58"/>
      <c r="L53" s="58"/>
    </row>
    <row r="54" ht="50.25" customHeight="1">
      <c r="A54" s="40"/>
      <c r="B54" s="44" t="str">
        <f t="shared" si="1"/>
        <v>CNT</v>
      </c>
      <c r="C54" s="46" t="s">
        <v>329</v>
      </c>
      <c r="D54" s="47" t="s">
        <v>36</v>
      </c>
      <c r="E54" s="49" t="s">
        <v>331</v>
      </c>
      <c r="F54" s="51" t="s">
        <v>333</v>
      </c>
      <c r="G54" s="52"/>
      <c r="H54" s="58"/>
      <c r="I54" s="54">
        <v>1.0</v>
      </c>
      <c r="J54" s="55"/>
      <c r="K54" s="58"/>
      <c r="L54" s="58"/>
    </row>
    <row r="55" ht="50.25" customHeight="1">
      <c r="A55" s="40"/>
      <c r="B55" s="44" t="str">
        <f t="shared" si="1"/>
        <v>CNT</v>
      </c>
      <c r="C55" s="46" t="s">
        <v>335</v>
      </c>
      <c r="D55" s="47" t="s">
        <v>36</v>
      </c>
      <c r="E55" s="49" t="s">
        <v>337</v>
      </c>
      <c r="F55" s="51" t="s">
        <v>339</v>
      </c>
      <c r="G55" s="52"/>
      <c r="H55" s="58"/>
      <c r="I55" s="54"/>
      <c r="J55" s="55"/>
      <c r="K55" s="58"/>
      <c r="L55" s="58"/>
    </row>
    <row r="56" ht="50.25" customHeight="1">
      <c r="A56" s="40"/>
      <c r="B56" s="44" t="str">
        <f t="shared" si="1"/>
        <v>CNT</v>
      </c>
      <c r="C56" s="46" t="s">
        <v>58</v>
      </c>
      <c r="D56" s="47" t="s">
        <v>36</v>
      </c>
      <c r="E56" s="49" t="s">
        <v>343</v>
      </c>
      <c r="F56" s="51" t="s">
        <v>344</v>
      </c>
      <c r="G56" s="52" t="s">
        <v>345</v>
      </c>
      <c r="H56" s="58"/>
      <c r="I56" s="54" t="s">
        <v>337</v>
      </c>
      <c r="J56" s="125" t="s">
        <v>346</v>
      </c>
      <c r="K56" s="58"/>
      <c r="L56" s="58"/>
    </row>
    <row r="57" ht="50.25" customHeight="1">
      <c r="A57" s="40"/>
      <c r="B57" s="44" t="str">
        <f t="shared" si="1"/>
        <v>CNT</v>
      </c>
      <c r="C57" s="46" t="s">
        <v>75</v>
      </c>
      <c r="D57" s="47" t="s">
        <v>36</v>
      </c>
      <c r="E57" s="126" t="s">
        <v>348</v>
      </c>
      <c r="F57" s="127" t="s">
        <v>349</v>
      </c>
      <c r="G57" s="52" t="s">
        <v>351</v>
      </c>
      <c r="H57" s="58"/>
      <c r="I57" s="128" t="s">
        <v>343</v>
      </c>
      <c r="J57" s="55"/>
      <c r="K57" s="58"/>
      <c r="L57" s="58"/>
    </row>
    <row r="58" ht="50.25" customHeight="1">
      <c r="A58" s="40"/>
      <c r="B58" s="44" t="str">
        <f t="shared" si="1"/>
        <v>CNT</v>
      </c>
      <c r="C58" s="46" t="s">
        <v>82</v>
      </c>
      <c r="D58" s="47" t="s">
        <v>36</v>
      </c>
      <c r="E58" s="49" t="s">
        <v>353</v>
      </c>
      <c r="F58" s="129" t="s">
        <v>355</v>
      </c>
      <c r="G58" s="52" t="s">
        <v>356</v>
      </c>
      <c r="H58" s="58"/>
      <c r="I58" s="54"/>
      <c r="J58" s="55"/>
      <c r="K58" s="58"/>
      <c r="L58" s="58"/>
    </row>
    <row r="59" ht="50.25" customHeight="1">
      <c r="A59" s="40"/>
      <c r="B59" s="44" t="str">
        <f t="shared" si="1"/>
        <v>CNT</v>
      </c>
      <c r="C59" s="46" t="s">
        <v>97</v>
      </c>
      <c r="D59" s="47" t="s">
        <v>36</v>
      </c>
      <c r="E59" s="49" t="s">
        <v>359</v>
      </c>
      <c r="F59" s="51" t="s">
        <v>360</v>
      </c>
      <c r="G59" s="52" t="s">
        <v>361</v>
      </c>
      <c r="H59" s="58"/>
      <c r="I59" s="54"/>
      <c r="J59" s="55"/>
      <c r="K59" s="58"/>
      <c r="L59" s="58"/>
    </row>
    <row r="60" ht="50.25" customHeight="1">
      <c r="A60" s="40"/>
      <c r="B60" s="44" t="str">
        <f t="shared" si="1"/>
        <v>CNT</v>
      </c>
      <c r="C60" s="46" t="s">
        <v>161</v>
      </c>
      <c r="D60" s="47" t="s">
        <v>36</v>
      </c>
      <c r="E60" s="126" t="s">
        <v>364</v>
      </c>
      <c r="F60" s="51"/>
      <c r="G60" s="52"/>
      <c r="H60" s="58"/>
      <c r="I60" s="54"/>
      <c r="J60" s="55"/>
      <c r="K60" s="58"/>
      <c r="L60" s="58"/>
    </row>
    <row r="61" ht="50.25" customHeight="1">
      <c r="A61" s="40"/>
      <c r="B61" s="44" t="str">
        <f t="shared" si="1"/>
        <v>CNT</v>
      </c>
      <c r="C61" s="46" t="s">
        <v>366</v>
      </c>
      <c r="D61" s="47" t="s">
        <v>36</v>
      </c>
      <c r="E61" s="126" t="s">
        <v>367</v>
      </c>
      <c r="F61" s="51"/>
      <c r="G61" s="52"/>
      <c r="H61" s="58"/>
      <c r="I61" s="54"/>
      <c r="J61" s="55"/>
      <c r="K61" s="58"/>
      <c r="L61" s="58"/>
    </row>
    <row r="62" ht="50.25" customHeight="1">
      <c r="A62" s="40"/>
      <c r="B62" s="44" t="str">
        <f t="shared" si="1"/>
        <v>CNT</v>
      </c>
      <c r="C62" s="46" t="s">
        <v>369</v>
      </c>
      <c r="D62" s="47" t="s">
        <v>36</v>
      </c>
      <c r="E62" s="126" t="s">
        <v>370</v>
      </c>
      <c r="F62" s="51"/>
      <c r="G62" s="52"/>
      <c r="H62" s="58"/>
      <c r="I62" s="54"/>
      <c r="J62" s="55"/>
      <c r="K62" s="58"/>
      <c r="L62" s="58"/>
    </row>
    <row r="63" ht="50.25" customHeight="1">
      <c r="A63" s="40"/>
      <c r="B63" s="44" t="str">
        <f t="shared" si="1"/>
        <v>CNT</v>
      </c>
      <c r="C63" s="46" t="s">
        <v>373</v>
      </c>
      <c r="D63" s="47" t="s">
        <v>36</v>
      </c>
      <c r="E63" s="126" t="s">
        <v>374</v>
      </c>
      <c r="F63" s="51"/>
      <c r="G63" s="52"/>
      <c r="H63" s="58"/>
      <c r="I63" s="54"/>
      <c r="J63" s="55"/>
      <c r="K63" s="58"/>
      <c r="L63" s="58"/>
    </row>
    <row r="64" ht="50.25" customHeight="1">
      <c r="A64" s="40"/>
      <c r="B64" s="44" t="str">
        <f t="shared" si="1"/>
        <v>CNT</v>
      </c>
      <c r="C64" s="46" t="s">
        <v>376</v>
      </c>
      <c r="D64" s="47" t="s">
        <v>36</v>
      </c>
      <c r="E64" s="126" t="s">
        <v>377</v>
      </c>
      <c r="F64" s="51"/>
      <c r="G64" s="52"/>
      <c r="H64" s="58"/>
      <c r="I64" s="54"/>
      <c r="J64" s="55"/>
      <c r="K64" s="58"/>
      <c r="L64" s="58"/>
    </row>
    <row r="65" ht="50.25" customHeight="1">
      <c r="A65" s="40"/>
      <c r="B65" s="44" t="str">
        <f t="shared" si="1"/>
        <v>CNT</v>
      </c>
      <c r="C65" s="46" t="s">
        <v>378</v>
      </c>
      <c r="D65" s="47" t="s">
        <v>36</v>
      </c>
      <c r="E65" s="126" t="s">
        <v>379</v>
      </c>
      <c r="F65" s="51"/>
      <c r="G65" s="52"/>
      <c r="H65" s="58"/>
      <c r="I65" s="54"/>
      <c r="J65" s="55"/>
      <c r="K65" s="58"/>
      <c r="L65" s="58"/>
    </row>
    <row r="66" ht="50.25" customHeight="1">
      <c r="A66" s="40"/>
      <c r="B66" s="44" t="str">
        <f t="shared" si="1"/>
        <v>CNT</v>
      </c>
      <c r="C66" s="46" t="s">
        <v>380</v>
      </c>
      <c r="D66" s="47" t="s">
        <v>36</v>
      </c>
      <c r="E66" s="126" t="s">
        <v>381</v>
      </c>
      <c r="F66" s="51"/>
      <c r="G66" s="52"/>
      <c r="H66" s="58"/>
      <c r="I66" s="54"/>
      <c r="J66" s="55"/>
      <c r="K66" s="58"/>
      <c r="L66" s="58"/>
    </row>
    <row r="67" ht="50.25" customHeight="1">
      <c r="A67" s="40"/>
      <c r="B67" s="44" t="str">
        <f t="shared" si="1"/>
        <v>CNT</v>
      </c>
      <c r="C67" s="46" t="s">
        <v>382</v>
      </c>
      <c r="D67" s="47" t="s">
        <v>36</v>
      </c>
      <c r="E67" s="126" t="s">
        <v>383</v>
      </c>
      <c r="F67" s="51"/>
      <c r="G67" s="52"/>
      <c r="H67" s="58"/>
      <c r="I67" s="54"/>
      <c r="J67" s="55"/>
      <c r="K67" s="58"/>
      <c r="L67" s="58"/>
    </row>
    <row r="68" ht="50.25" customHeight="1">
      <c r="A68" s="40"/>
      <c r="B68" s="44" t="str">
        <f t="shared" si="1"/>
        <v>CNT</v>
      </c>
      <c r="C68" s="46" t="s">
        <v>384</v>
      </c>
      <c r="D68" s="47" t="s">
        <v>36</v>
      </c>
      <c r="E68" s="126" t="s">
        <v>385</v>
      </c>
      <c r="F68" s="51"/>
      <c r="G68" s="52"/>
      <c r="H68" s="58"/>
      <c r="I68" s="54"/>
      <c r="J68" s="55"/>
      <c r="K68" s="58"/>
      <c r="L68" s="58"/>
    </row>
    <row r="69" ht="50.25" customHeight="1">
      <c r="A69" s="40"/>
      <c r="B69" s="44" t="str">
        <f t="shared" si="1"/>
        <v>CNT</v>
      </c>
      <c r="C69" s="46" t="s">
        <v>386</v>
      </c>
      <c r="D69" s="47" t="s">
        <v>36</v>
      </c>
      <c r="E69" s="126" t="s">
        <v>387</v>
      </c>
      <c r="F69" s="51"/>
      <c r="G69" s="52"/>
      <c r="H69" s="58"/>
      <c r="I69" s="54"/>
      <c r="J69" s="55"/>
      <c r="K69" s="58"/>
      <c r="L69" s="58"/>
    </row>
    <row r="70" ht="50.25" customHeight="1">
      <c r="A70" s="40"/>
      <c r="B70" s="44" t="str">
        <f t="shared" si="1"/>
        <v>CNT</v>
      </c>
      <c r="C70" s="46" t="s">
        <v>388</v>
      </c>
      <c r="D70" s="47" t="s">
        <v>36</v>
      </c>
      <c r="E70" s="126" t="s">
        <v>389</v>
      </c>
      <c r="F70" s="51"/>
      <c r="G70" s="52"/>
      <c r="H70" s="58"/>
      <c r="I70" s="54"/>
      <c r="J70" s="55"/>
      <c r="K70" s="58"/>
      <c r="L70" s="58"/>
    </row>
    <row r="71" ht="50.25" customHeight="1">
      <c r="A71" s="40"/>
      <c r="B71" s="44" t="str">
        <f t="shared" si="1"/>
        <v>CNT</v>
      </c>
      <c r="C71" s="46" t="s">
        <v>390</v>
      </c>
      <c r="D71" s="47" t="s">
        <v>36</v>
      </c>
      <c r="E71" s="126" t="s">
        <v>391</v>
      </c>
      <c r="F71" s="51"/>
      <c r="G71" s="52"/>
      <c r="H71" s="58"/>
      <c r="I71" s="54"/>
      <c r="J71" s="55"/>
      <c r="K71" s="58"/>
      <c r="L71" s="58"/>
    </row>
    <row r="72" ht="50.25" customHeight="1">
      <c r="A72" s="40"/>
      <c r="B72" s="44" t="str">
        <f t="shared" si="1"/>
        <v>CNT</v>
      </c>
      <c r="C72" s="46" t="s">
        <v>392</v>
      </c>
      <c r="D72" s="47" t="s">
        <v>36</v>
      </c>
      <c r="E72" s="126" t="s">
        <v>393</v>
      </c>
      <c r="F72" s="51"/>
      <c r="G72" s="52"/>
      <c r="H72" s="58"/>
      <c r="I72" s="54"/>
      <c r="J72" s="55"/>
      <c r="K72" s="58"/>
      <c r="L72" s="58"/>
    </row>
    <row r="73" ht="50.25" customHeight="1">
      <c r="A73" s="40"/>
      <c r="B73" s="44" t="str">
        <f t="shared" si="1"/>
        <v>CNT</v>
      </c>
      <c r="C73" s="46" t="s">
        <v>394</v>
      </c>
      <c r="D73" s="47" t="s">
        <v>36</v>
      </c>
      <c r="E73" s="126" t="s">
        <v>395</v>
      </c>
      <c r="F73" s="51"/>
      <c r="G73" s="52"/>
      <c r="H73" s="58"/>
      <c r="I73" s="54"/>
      <c r="J73" s="55"/>
      <c r="K73" s="58"/>
      <c r="L73" s="58"/>
    </row>
    <row r="74" ht="50.25" customHeight="1">
      <c r="A74" s="40"/>
      <c r="B74" s="44" t="str">
        <f t="shared" si="1"/>
        <v>CNT</v>
      </c>
      <c r="C74" s="46" t="s">
        <v>396</v>
      </c>
      <c r="D74" s="47" t="s">
        <v>36</v>
      </c>
      <c r="E74" s="126" t="s">
        <v>397</v>
      </c>
      <c r="F74" s="51"/>
      <c r="G74" s="52"/>
      <c r="H74" s="58"/>
      <c r="I74" s="54"/>
      <c r="J74" s="55"/>
      <c r="K74" s="58"/>
      <c r="L74" s="58"/>
    </row>
    <row r="75" ht="50.25" customHeight="1">
      <c r="A75" s="40"/>
      <c r="B75" s="44" t="str">
        <f t="shared" si="1"/>
        <v>CNT</v>
      </c>
      <c r="C75" s="46" t="s">
        <v>398</v>
      </c>
      <c r="D75" s="47" t="s">
        <v>36</v>
      </c>
      <c r="E75" s="126" t="s">
        <v>399</v>
      </c>
      <c r="F75" s="51"/>
      <c r="G75" s="52"/>
      <c r="H75" s="58"/>
      <c r="I75" s="54"/>
      <c r="J75" s="55"/>
      <c r="K75" s="58"/>
      <c r="L75" s="58"/>
    </row>
    <row r="76" ht="50.25" customHeight="1">
      <c r="A76" s="40"/>
      <c r="B76" s="44" t="str">
        <f t="shared" si="1"/>
        <v>CNT</v>
      </c>
      <c r="C76" s="46" t="s">
        <v>400</v>
      </c>
      <c r="D76" s="47" t="s">
        <v>36</v>
      </c>
      <c r="E76" s="126" t="s">
        <v>401</v>
      </c>
      <c r="F76" s="51"/>
      <c r="G76" s="52"/>
      <c r="H76" s="58"/>
      <c r="I76" s="54"/>
      <c r="J76" s="55"/>
      <c r="K76" s="58"/>
      <c r="L76" s="58"/>
    </row>
    <row r="77" ht="50.25" customHeight="1">
      <c r="A77" s="40"/>
      <c r="B77" s="44" t="str">
        <f t="shared" si="1"/>
        <v>CNT</v>
      </c>
      <c r="C77" s="46" t="s">
        <v>402</v>
      </c>
      <c r="D77" s="47" t="s">
        <v>36</v>
      </c>
      <c r="E77" s="126" t="s">
        <v>403</v>
      </c>
      <c r="F77" s="51"/>
      <c r="G77" s="52"/>
      <c r="H77" s="58"/>
      <c r="I77" s="54"/>
      <c r="J77" s="55"/>
      <c r="K77" s="58"/>
      <c r="L77" s="58"/>
    </row>
    <row r="78" ht="50.25" customHeight="1">
      <c r="A78" s="40"/>
      <c r="B78" s="44" t="str">
        <f t="shared" si="1"/>
        <v>CNT</v>
      </c>
      <c r="C78" s="46" t="s">
        <v>405</v>
      </c>
      <c r="D78" s="47" t="s">
        <v>36</v>
      </c>
      <c r="E78" s="126" t="s">
        <v>406</v>
      </c>
      <c r="F78" s="51"/>
      <c r="G78" s="52"/>
      <c r="H78" s="58"/>
      <c r="I78" s="54"/>
      <c r="J78" s="55"/>
      <c r="K78" s="58"/>
      <c r="L78" s="58"/>
    </row>
    <row r="79" ht="50.25" customHeight="1">
      <c r="A79" s="40"/>
      <c r="B79" s="44" t="str">
        <f t="shared" si="1"/>
        <v>CNT</v>
      </c>
      <c r="C79" s="46" t="s">
        <v>408</v>
      </c>
      <c r="D79" s="47" t="s">
        <v>36</v>
      </c>
      <c r="E79" s="126" t="s">
        <v>409</v>
      </c>
      <c r="F79" s="51"/>
      <c r="G79" s="52"/>
      <c r="H79" s="58"/>
      <c r="I79" s="54"/>
      <c r="J79" s="55"/>
      <c r="K79" s="58"/>
      <c r="L79" s="58"/>
    </row>
    <row r="80" ht="50.25" customHeight="1">
      <c r="A80" s="40"/>
      <c r="B80" s="44" t="str">
        <f t="shared" si="1"/>
        <v>CNT</v>
      </c>
      <c r="C80" s="46" t="s">
        <v>411</v>
      </c>
      <c r="D80" s="47" t="s">
        <v>36</v>
      </c>
      <c r="E80" s="126" t="s">
        <v>413</v>
      </c>
      <c r="F80" s="51"/>
      <c r="G80" s="52"/>
      <c r="H80" s="58"/>
      <c r="I80" s="54"/>
      <c r="J80" s="55"/>
      <c r="K80" s="58"/>
      <c r="L80" s="58"/>
    </row>
    <row r="81" ht="50.25" customHeight="1">
      <c r="A81" s="40"/>
      <c r="B81" s="44" t="str">
        <f t="shared" si="1"/>
        <v>CNT</v>
      </c>
      <c r="C81" s="46" t="s">
        <v>414</v>
      </c>
      <c r="D81" s="47" t="s">
        <v>36</v>
      </c>
      <c r="E81" s="126" t="s">
        <v>416</v>
      </c>
      <c r="F81" s="51"/>
      <c r="G81" s="52"/>
      <c r="H81" s="58"/>
      <c r="I81" s="54"/>
      <c r="J81" s="55"/>
      <c r="K81" s="58"/>
      <c r="L81" s="58"/>
    </row>
    <row r="82" ht="50.25" customHeight="1">
      <c r="A82" s="40"/>
      <c r="B82" s="44" t="str">
        <f t="shared" si="1"/>
        <v>CNT</v>
      </c>
      <c r="C82" s="46" t="s">
        <v>418</v>
      </c>
      <c r="D82" s="47" t="s">
        <v>36</v>
      </c>
      <c r="E82" s="126" t="s">
        <v>419</v>
      </c>
      <c r="F82" s="51"/>
      <c r="G82" s="52"/>
      <c r="H82" s="58"/>
      <c r="I82" s="54"/>
      <c r="J82" s="55"/>
      <c r="K82" s="58"/>
      <c r="L82" s="58"/>
    </row>
    <row r="83" ht="50.25" customHeight="1">
      <c r="A83" s="40"/>
      <c r="B83" s="44" t="str">
        <f t="shared" si="1"/>
        <v>CNT</v>
      </c>
      <c r="C83" s="46" t="s">
        <v>421</v>
      </c>
      <c r="D83" s="47" t="s">
        <v>36</v>
      </c>
      <c r="E83" s="126" t="s">
        <v>422</v>
      </c>
      <c r="F83" s="51"/>
      <c r="G83" s="52"/>
      <c r="H83" s="58"/>
      <c r="I83" s="54"/>
      <c r="J83" s="55"/>
      <c r="K83" s="58"/>
      <c r="L83" s="58"/>
    </row>
    <row r="84" ht="50.25" customHeight="1">
      <c r="A84" s="40"/>
      <c r="B84" s="44" t="str">
        <f t="shared" si="1"/>
        <v>CNT</v>
      </c>
      <c r="C84" s="46" t="s">
        <v>424</v>
      </c>
      <c r="D84" s="47" t="s">
        <v>36</v>
      </c>
      <c r="E84" s="126" t="s">
        <v>425</v>
      </c>
      <c r="F84" s="51"/>
      <c r="G84" s="52"/>
      <c r="H84" s="58"/>
      <c r="I84" s="54"/>
      <c r="J84" s="55"/>
      <c r="K84" s="58"/>
      <c r="L84" s="58"/>
    </row>
    <row r="85" ht="50.25" customHeight="1">
      <c r="A85" s="40"/>
      <c r="B85" s="44" t="str">
        <f t="shared" si="1"/>
        <v>CNT</v>
      </c>
      <c r="C85" s="46" t="s">
        <v>427</v>
      </c>
      <c r="D85" s="47" t="s">
        <v>36</v>
      </c>
      <c r="E85" s="126" t="s">
        <v>428</v>
      </c>
      <c r="F85" s="51"/>
      <c r="G85" s="52"/>
      <c r="H85" s="58"/>
      <c r="I85" s="54"/>
      <c r="J85" s="55"/>
      <c r="K85" s="58"/>
      <c r="L85" s="58"/>
    </row>
    <row r="86" ht="50.25" customHeight="1">
      <c r="A86" s="40"/>
      <c r="B86" s="44" t="str">
        <f t="shared" si="1"/>
        <v>CNT</v>
      </c>
      <c r="C86" s="46" t="s">
        <v>430</v>
      </c>
      <c r="D86" s="47" t="s">
        <v>36</v>
      </c>
      <c r="E86" s="126" t="s">
        <v>431</v>
      </c>
      <c r="F86" s="51"/>
      <c r="G86" s="52"/>
      <c r="H86" s="58"/>
      <c r="I86" s="54"/>
      <c r="J86" s="55"/>
      <c r="K86" s="58"/>
      <c r="L86" s="58"/>
    </row>
    <row r="87" ht="50.25" customHeight="1">
      <c r="A87" s="40"/>
      <c r="B87" s="44" t="str">
        <f t="shared" si="1"/>
        <v>CNT</v>
      </c>
      <c r="C87" s="46" t="s">
        <v>433</v>
      </c>
      <c r="D87" s="47" t="s">
        <v>36</v>
      </c>
      <c r="E87" s="126" t="s">
        <v>434</v>
      </c>
      <c r="F87" s="51"/>
      <c r="G87" s="52"/>
      <c r="H87" s="58"/>
      <c r="I87" s="54"/>
      <c r="J87" s="55"/>
      <c r="K87" s="58"/>
      <c r="L87" s="58"/>
    </row>
    <row r="88" ht="50.25" customHeight="1">
      <c r="A88" s="40"/>
      <c r="B88" s="44" t="str">
        <f t="shared" si="1"/>
        <v>CNT</v>
      </c>
      <c r="C88" s="46" t="s">
        <v>436</v>
      </c>
      <c r="D88" s="47" t="s">
        <v>36</v>
      </c>
      <c r="E88" s="126" t="s">
        <v>437</v>
      </c>
      <c r="F88" s="51"/>
      <c r="G88" s="52"/>
      <c r="H88" s="58"/>
      <c r="I88" s="54"/>
      <c r="J88" s="55"/>
      <c r="K88" s="58"/>
      <c r="L88" s="58"/>
    </row>
    <row r="89" ht="50.25" customHeight="1">
      <c r="A89" s="40"/>
      <c r="B89" s="44" t="str">
        <f t="shared" si="1"/>
        <v>CNT</v>
      </c>
      <c r="C89" s="46" t="s">
        <v>439</v>
      </c>
      <c r="D89" s="47" t="s">
        <v>36</v>
      </c>
      <c r="E89" s="126" t="s">
        <v>440</v>
      </c>
      <c r="F89" s="51"/>
      <c r="G89" s="52"/>
      <c r="H89" s="58"/>
      <c r="I89" s="54"/>
      <c r="J89" s="55"/>
      <c r="K89" s="58"/>
      <c r="L89" s="58"/>
    </row>
    <row r="90" ht="50.25" customHeight="1">
      <c r="A90" s="40"/>
      <c r="B90" s="44" t="str">
        <f t="shared" si="1"/>
        <v>CNT</v>
      </c>
      <c r="C90" s="46" t="s">
        <v>442</v>
      </c>
      <c r="D90" s="47" t="s">
        <v>36</v>
      </c>
      <c r="E90" s="126" t="s">
        <v>443</v>
      </c>
      <c r="F90" s="51"/>
      <c r="G90" s="52"/>
      <c r="H90" s="58"/>
      <c r="I90" s="54"/>
      <c r="J90" s="55"/>
      <c r="K90" s="58"/>
      <c r="L90" s="58"/>
    </row>
    <row r="91" ht="50.25" customHeight="1">
      <c r="A91" s="40"/>
      <c r="B91" s="44" t="str">
        <f t="shared" si="1"/>
        <v>CNT</v>
      </c>
      <c r="C91" s="46" t="s">
        <v>444</v>
      </c>
      <c r="D91" s="47" t="s">
        <v>36</v>
      </c>
      <c r="E91" s="126" t="s">
        <v>445</v>
      </c>
      <c r="F91" s="51"/>
      <c r="G91" s="52"/>
      <c r="H91" s="58"/>
      <c r="I91" s="54"/>
      <c r="J91" s="55"/>
      <c r="K91" s="58"/>
      <c r="L91" s="58"/>
    </row>
    <row r="92" ht="50.25" customHeight="1">
      <c r="A92" s="40"/>
      <c r="B92" s="44" t="str">
        <f t="shared" si="1"/>
        <v>CNT</v>
      </c>
      <c r="C92" s="46" t="s">
        <v>447</v>
      </c>
      <c r="D92" s="47" t="s">
        <v>36</v>
      </c>
      <c r="E92" s="126" t="s">
        <v>448</v>
      </c>
      <c r="F92" s="51"/>
      <c r="G92" s="52"/>
      <c r="H92" s="58"/>
      <c r="I92" s="54"/>
      <c r="J92" s="55"/>
      <c r="K92" s="58"/>
      <c r="L92" s="58"/>
    </row>
    <row r="93" ht="50.25" customHeight="1">
      <c r="A93" s="40"/>
      <c r="B93" s="44" t="str">
        <f t="shared" si="1"/>
        <v>CNT</v>
      </c>
      <c r="C93" s="46" t="s">
        <v>449</v>
      </c>
      <c r="D93" s="47" t="s">
        <v>36</v>
      </c>
      <c r="E93" s="126" t="s">
        <v>450</v>
      </c>
      <c r="F93" s="51"/>
      <c r="G93" s="52"/>
      <c r="H93" s="58"/>
      <c r="I93" s="54"/>
      <c r="J93" s="55"/>
      <c r="K93" s="58"/>
      <c r="L93" s="58"/>
    </row>
    <row r="94" ht="50.25" customHeight="1">
      <c r="A94" s="40"/>
      <c r="B94" s="44" t="str">
        <f t="shared" si="1"/>
        <v>CNT</v>
      </c>
      <c r="C94" s="46" t="s">
        <v>452</v>
      </c>
      <c r="D94" s="47" t="s">
        <v>36</v>
      </c>
      <c r="E94" s="126" t="s">
        <v>453</v>
      </c>
      <c r="F94" s="51"/>
      <c r="G94" s="52"/>
      <c r="H94" s="58"/>
      <c r="I94" s="54"/>
      <c r="J94" s="55"/>
      <c r="K94" s="58"/>
      <c r="L94" s="58"/>
    </row>
    <row r="95" ht="50.25" customHeight="1">
      <c r="A95" s="40"/>
      <c r="B95" s="44" t="str">
        <f t="shared" si="1"/>
        <v>CNT</v>
      </c>
      <c r="C95" s="46" t="s">
        <v>456</v>
      </c>
      <c r="D95" s="47" t="s">
        <v>36</v>
      </c>
      <c r="E95" s="126" t="s">
        <v>457</v>
      </c>
      <c r="F95" s="51"/>
      <c r="G95" s="52"/>
      <c r="H95" s="58"/>
      <c r="I95" s="54"/>
      <c r="J95" s="55"/>
      <c r="K95" s="58"/>
      <c r="L95" s="58"/>
    </row>
    <row r="96" ht="50.25" customHeight="1">
      <c r="A96" s="40"/>
      <c r="B96" s="44" t="str">
        <f t="shared" si="1"/>
        <v>CNT</v>
      </c>
      <c r="C96" s="46" t="s">
        <v>459</v>
      </c>
      <c r="D96" s="47" t="s">
        <v>36</v>
      </c>
      <c r="E96" s="126" t="s">
        <v>460</v>
      </c>
      <c r="F96" s="51"/>
      <c r="G96" s="52"/>
      <c r="H96" s="58"/>
      <c r="I96" s="54"/>
      <c r="J96" s="55"/>
      <c r="K96" s="58"/>
      <c r="L96" s="58"/>
    </row>
    <row r="97" ht="50.25" customHeight="1">
      <c r="A97" s="40"/>
      <c r="B97" s="44" t="str">
        <f t="shared" si="1"/>
        <v>CNT</v>
      </c>
      <c r="C97" s="46" t="s">
        <v>462</v>
      </c>
      <c r="D97" s="47" t="s">
        <v>36</v>
      </c>
      <c r="E97" s="126" t="s">
        <v>463</v>
      </c>
      <c r="F97" s="51"/>
      <c r="G97" s="52"/>
      <c r="H97" s="58"/>
      <c r="I97" s="54"/>
      <c r="J97" s="55"/>
      <c r="K97" s="58"/>
      <c r="L97" s="58"/>
    </row>
    <row r="98" ht="50.25" customHeight="1">
      <c r="A98" s="40"/>
      <c r="B98" s="44" t="str">
        <f t="shared" si="1"/>
        <v>CNT</v>
      </c>
      <c r="C98" s="46" t="s">
        <v>464</v>
      </c>
      <c r="D98" s="47" t="s">
        <v>36</v>
      </c>
      <c r="E98" s="126" t="s">
        <v>465</v>
      </c>
      <c r="F98" s="51"/>
      <c r="G98" s="52"/>
      <c r="H98" s="58"/>
      <c r="I98" s="54"/>
      <c r="J98" s="55"/>
      <c r="K98" s="58"/>
      <c r="L98" s="58"/>
    </row>
    <row r="99" ht="50.25" customHeight="1">
      <c r="A99" s="40"/>
      <c r="B99" s="44" t="str">
        <f t="shared" si="1"/>
        <v>CNT</v>
      </c>
      <c r="C99" s="46" t="s">
        <v>466</v>
      </c>
      <c r="D99" s="47" t="s">
        <v>36</v>
      </c>
      <c r="E99" s="126" t="s">
        <v>467</v>
      </c>
      <c r="F99" s="51"/>
      <c r="G99" s="52"/>
      <c r="H99" s="58"/>
      <c r="I99" s="54"/>
      <c r="J99" s="55"/>
      <c r="K99" s="58"/>
      <c r="L99" s="58"/>
    </row>
    <row r="100" ht="50.25" customHeight="1">
      <c r="A100" s="40"/>
      <c r="B100" s="44" t="str">
        <f t="shared" si="1"/>
        <v>CNT</v>
      </c>
      <c r="C100" s="46" t="s">
        <v>468</v>
      </c>
      <c r="D100" s="47" t="s">
        <v>36</v>
      </c>
      <c r="E100" s="126" t="s">
        <v>469</v>
      </c>
      <c r="F100" s="51"/>
      <c r="G100" s="52"/>
      <c r="H100" s="58"/>
      <c r="I100" s="54"/>
      <c r="J100" s="55"/>
      <c r="K100" s="58"/>
      <c r="L100" s="58"/>
    </row>
    <row r="101" ht="50.25" customHeight="1">
      <c r="A101" s="40"/>
      <c r="B101" s="44" t="str">
        <f t="shared" si="1"/>
        <v>CNT</v>
      </c>
      <c r="C101" s="46" t="s">
        <v>470</v>
      </c>
      <c r="D101" s="47" t="s">
        <v>36</v>
      </c>
      <c r="E101" s="126" t="s">
        <v>471</v>
      </c>
      <c r="F101" s="51"/>
      <c r="G101" s="52"/>
      <c r="H101" s="58"/>
      <c r="I101" s="54"/>
      <c r="J101" s="55"/>
      <c r="K101" s="58"/>
      <c r="L101" s="58"/>
    </row>
    <row r="102" ht="50.25" customHeight="1">
      <c r="A102" s="40"/>
      <c r="B102" s="44" t="str">
        <f t="shared" si="1"/>
        <v>CNT</v>
      </c>
      <c r="C102" s="46" t="s">
        <v>472</v>
      </c>
      <c r="D102" s="47" t="s">
        <v>36</v>
      </c>
      <c r="E102" s="126" t="s">
        <v>473</v>
      </c>
      <c r="F102" s="51"/>
      <c r="G102" s="52"/>
      <c r="H102" s="58"/>
      <c r="I102" s="54"/>
      <c r="J102" s="55"/>
      <c r="K102" s="58"/>
      <c r="L102" s="58"/>
    </row>
    <row r="103" ht="50.25" customHeight="1">
      <c r="A103" s="40"/>
      <c r="B103" s="44" t="str">
        <f t="shared" si="1"/>
        <v>CNT</v>
      </c>
      <c r="C103" s="46" t="s">
        <v>474</v>
      </c>
      <c r="D103" s="47" t="s">
        <v>36</v>
      </c>
      <c r="E103" s="49" t="s">
        <v>475</v>
      </c>
      <c r="F103" s="51"/>
      <c r="G103" s="52"/>
      <c r="H103" s="58"/>
      <c r="I103" s="54"/>
      <c r="J103" s="55"/>
      <c r="K103" s="58"/>
      <c r="L103" s="58"/>
    </row>
    <row r="104" ht="50.25" customHeight="1">
      <c r="A104" s="40"/>
      <c r="B104" s="44" t="str">
        <f t="shared" si="1"/>
        <v>CNT</v>
      </c>
      <c r="C104" s="46" t="s">
        <v>476</v>
      </c>
      <c r="D104" s="47" t="s">
        <v>36</v>
      </c>
      <c r="E104" s="131" t="s">
        <v>477</v>
      </c>
      <c r="F104" s="51" t="s">
        <v>478</v>
      </c>
      <c r="G104" s="52"/>
      <c r="H104" s="58"/>
      <c r="I104" s="54"/>
      <c r="J104" s="55"/>
      <c r="K104" s="58"/>
      <c r="L104" s="58"/>
    </row>
    <row r="105" ht="50.25" customHeight="1">
      <c r="A105" s="40"/>
      <c r="B105" s="44" t="str">
        <f t="shared" si="1"/>
        <v>CNT</v>
      </c>
      <c r="C105" s="46" t="s">
        <v>479</v>
      </c>
      <c r="D105" s="47" t="s">
        <v>36</v>
      </c>
      <c r="E105" s="132" t="s">
        <v>480</v>
      </c>
      <c r="F105" s="51" t="s">
        <v>481</v>
      </c>
      <c r="G105" s="52"/>
      <c r="H105" s="58"/>
      <c r="I105" s="54"/>
      <c r="J105" s="55"/>
      <c r="K105" s="58"/>
      <c r="L105" s="58"/>
    </row>
    <row r="106" ht="50.25" customHeight="1">
      <c r="A106" s="40"/>
      <c r="B106" s="44" t="str">
        <f t="shared" si="1"/>
        <v>CNT</v>
      </c>
      <c r="C106" s="46" t="s">
        <v>482</v>
      </c>
      <c r="D106" s="47" t="s">
        <v>36</v>
      </c>
      <c r="E106" s="132" t="s">
        <v>483</v>
      </c>
      <c r="F106" s="51" t="s">
        <v>484</v>
      </c>
      <c r="G106" s="52"/>
      <c r="H106" s="58"/>
      <c r="I106" s="54"/>
      <c r="J106" s="55"/>
      <c r="K106" s="58"/>
      <c r="L106" s="58"/>
    </row>
    <row r="107" ht="50.25" customHeight="1">
      <c r="A107" s="40"/>
      <c r="B107" s="44" t="str">
        <f t="shared" si="1"/>
        <v>CNT</v>
      </c>
      <c r="C107" s="46" t="s">
        <v>485</v>
      </c>
      <c r="D107" s="47" t="s">
        <v>36</v>
      </c>
      <c r="E107" s="132" t="s">
        <v>486</v>
      </c>
      <c r="F107" s="51" t="s">
        <v>487</v>
      </c>
      <c r="G107" s="52"/>
      <c r="H107" s="58"/>
      <c r="I107" s="54"/>
      <c r="J107" s="55"/>
      <c r="K107" s="58"/>
      <c r="L107" s="58"/>
    </row>
    <row r="108" ht="50.25" customHeight="1">
      <c r="A108" s="40"/>
      <c r="B108" s="44" t="str">
        <f t="shared" si="1"/>
        <v>CNT</v>
      </c>
      <c r="C108" s="46" t="s">
        <v>488</v>
      </c>
      <c r="D108" s="47" t="s">
        <v>36</v>
      </c>
      <c r="E108" s="132" t="s">
        <v>489</v>
      </c>
      <c r="F108" s="51" t="s">
        <v>490</v>
      </c>
      <c r="G108" s="52"/>
      <c r="H108" s="58"/>
      <c r="I108" s="54"/>
      <c r="J108" s="55"/>
      <c r="K108" s="58"/>
      <c r="L108" s="58"/>
    </row>
    <row r="109" ht="50.25" customHeight="1">
      <c r="A109" s="40"/>
      <c r="B109" s="44" t="str">
        <f t="shared" si="1"/>
        <v>CNT</v>
      </c>
      <c r="C109" s="46" t="s">
        <v>491</v>
      </c>
      <c r="D109" s="47" t="s">
        <v>36</v>
      </c>
      <c r="E109" s="132" t="s">
        <v>492</v>
      </c>
      <c r="F109" s="51" t="s">
        <v>493</v>
      </c>
      <c r="G109" s="52"/>
      <c r="H109" s="58"/>
      <c r="I109" s="54"/>
      <c r="J109" s="55"/>
      <c r="K109" s="58"/>
      <c r="L109" s="58"/>
    </row>
    <row r="110" ht="50.25" customHeight="1">
      <c r="A110" s="40"/>
      <c r="B110" s="44" t="str">
        <f t="shared" si="1"/>
        <v>CNT</v>
      </c>
      <c r="C110" s="46" t="s">
        <v>13</v>
      </c>
      <c r="D110" s="47" t="s">
        <v>36</v>
      </c>
      <c r="E110" s="134" t="s">
        <v>494</v>
      </c>
      <c r="F110" s="51" t="s">
        <v>495</v>
      </c>
      <c r="G110" s="135"/>
      <c r="H110" s="58"/>
      <c r="I110" s="54"/>
      <c r="J110" s="52" t="s">
        <v>496</v>
      </c>
      <c r="K110" s="58"/>
      <c r="L110" s="58"/>
    </row>
    <row r="111" ht="50.25" customHeight="1">
      <c r="A111" s="40"/>
      <c r="B111" s="44" t="str">
        <f t="shared" si="1"/>
        <v>CNT</v>
      </c>
      <c r="C111" s="46" t="s">
        <v>497</v>
      </c>
      <c r="D111" s="47" t="s">
        <v>36</v>
      </c>
      <c r="E111" s="132" t="s">
        <v>498</v>
      </c>
      <c r="F111" s="51" t="s">
        <v>499</v>
      </c>
      <c r="G111" s="52"/>
      <c r="H111" s="58"/>
      <c r="I111" s="54"/>
      <c r="J111" s="55"/>
      <c r="K111" s="58"/>
      <c r="L111" s="58"/>
    </row>
    <row r="112" ht="50.25" customHeight="1">
      <c r="A112" s="40"/>
      <c r="B112" s="44" t="str">
        <f t="shared" si="1"/>
        <v>CNT</v>
      </c>
      <c r="C112" s="46" t="s">
        <v>40</v>
      </c>
      <c r="D112" s="47" t="s">
        <v>36</v>
      </c>
      <c r="E112" s="141" t="s">
        <v>500</v>
      </c>
      <c r="F112" s="51" t="s">
        <v>501</v>
      </c>
      <c r="G112" s="52"/>
      <c r="H112" s="58"/>
      <c r="I112" s="54"/>
      <c r="J112" s="125" t="s">
        <v>502</v>
      </c>
      <c r="K112" s="58"/>
      <c r="L112" s="58"/>
    </row>
    <row r="113" ht="50.25" customHeight="1">
      <c r="A113" s="40"/>
      <c r="B113" s="44" t="str">
        <f t="shared" si="1"/>
        <v>CNT</v>
      </c>
      <c r="C113" s="46" t="s">
        <v>503</v>
      </c>
      <c r="D113" s="47" t="s">
        <v>36</v>
      </c>
      <c r="E113" s="132" t="s">
        <v>504</v>
      </c>
      <c r="F113" s="51" t="s">
        <v>505</v>
      </c>
      <c r="G113" s="52"/>
      <c r="H113" s="58"/>
      <c r="I113" s="54"/>
      <c r="J113" s="55"/>
      <c r="K113" s="58"/>
      <c r="L113" s="58"/>
    </row>
    <row r="114" ht="50.25" customHeight="1">
      <c r="A114" s="40"/>
      <c r="B114" s="44" t="str">
        <f t="shared" si="1"/>
        <v>CNT</v>
      </c>
      <c r="C114" s="46" t="s">
        <v>506</v>
      </c>
      <c r="D114" s="47" t="s">
        <v>36</v>
      </c>
      <c r="E114" s="132" t="s">
        <v>507</v>
      </c>
      <c r="F114" s="51" t="s">
        <v>508</v>
      </c>
      <c r="G114" s="52"/>
      <c r="H114" s="58"/>
      <c r="I114" s="54"/>
      <c r="J114" s="55"/>
      <c r="K114" s="58"/>
      <c r="L114" s="58"/>
    </row>
    <row r="115" ht="50.25" customHeight="1">
      <c r="A115" s="40"/>
      <c r="B115" s="44" t="str">
        <f t="shared" si="1"/>
        <v>CNT</v>
      </c>
      <c r="C115" s="46" t="s">
        <v>509</v>
      </c>
      <c r="D115" s="47" t="s">
        <v>36</v>
      </c>
      <c r="E115" s="132" t="s">
        <v>510</v>
      </c>
      <c r="F115" s="51" t="s">
        <v>511</v>
      </c>
      <c r="G115" s="52"/>
      <c r="H115" s="58"/>
      <c r="I115" s="54"/>
      <c r="J115" s="55"/>
      <c r="K115" s="58"/>
      <c r="L115" s="58"/>
    </row>
    <row r="116" ht="50.25" customHeight="1">
      <c r="A116" s="40"/>
      <c r="B116" s="44" t="str">
        <f t="shared" si="1"/>
        <v>CNT</v>
      </c>
      <c r="C116" s="46" t="s">
        <v>512</v>
      </c>
      <c r="D116" s="47" t="s">
        <v>36</v>
      </c>
      <c r="E116" s="132" t="s">
        <v>513</v>
      </c>
      <c r="F116" s="51" t="s">
        <v>514</v>
      </c>
      <c r="G116" s="52"/>
      <c r="H116" s="58"/>
      <c r="I116" s="54"/>
      <c r="J116" s="55"/>
      <c r="K116" s="58"/>
      <c r="L116" s="58"/>
    </row>
    <row r="117" ht="50.25" customHeight="1">
      <c r="A117" s="40"/>
      <c r="B117" s="44" t="str">
        <f t="shared" si="1"/>
        <v>CNT</v>
      </c>
      <c r="C117" s="46" t="s">
        <v>515</v>
      </c>
      <c r="D117" s="47" t="s">
        <v>36</v>
      </c>
      <c r="E117" s="131" t="s">
        <v>516</v>
      </c>
      <c r="F117" s="51" t="s">
        <v>517</v>
      </c>
      <c r="G117" s="52"/>
      <c r="H117" s="58"/>
      <c r="I117" s="54"/>
      <c r="J117" s="55"/>
      <c r="K117" s="58"/>
      <c r="L117" s="58"/>
    </row>
    <row r="118" ht="50.25" customHeight="1">
      <c r="A118" s="40"/>
      <c r="B118" s="44" t="str">
        <f t="shared" si="1"/>
        <v>CNT</v>
      </c>
      <c r="C118" s="46" t="s">
        <v>518</v>
      </c>
      <c r="D118" s="47" t="s">
        <v>36</v>
      </c>
      <c r="E118" s="131" t="s">
        <v>519</v>
      </c>
      <c r="F118" s="51" t="s">
        <v>517</v>
      </c>
      <c r="G118" s="52"/>
      <c r="H118" s="58"/>
      <c r="I118" s="54"/>
      <c r="J118" s="55"/>
      <c r="K118" s="58"/>
      <c r="L118" s="58"/>
    </row>
    <row r="119" ht="50.25" customHeight="1">
      <c r="A119" s="40"/>
      <c r="B119" s="44" t="str">
        <f t="shared" si="1"/>
        <v>CNT</v>
      </c>
      <c r="C119" s="46" t="s">
        <v>520</v>
      </c>
      <c r="D119" s="47" t="s">
        <v>36</v>
      </c>
      <c r="E119" s="131" t="s">
        <v>521</v>
      </c>
      <c r="F119" s="51" t="s">
        <v>522</v>
      </c>
      <c r="G119" s="52"/>
      <c r="H119" s="58"/>
      <c r="I119" s="54"/>
      <c r="J119" s="55"/>
      <c r="K119" s="58"/>
      <c r="L119" s="58"/>
    </row>
    <row r="120" ht="50.25" customHeight="1">
      <c r="A120" s="40"/>
      <c r="B120" s="44" t="str">
        <f t="shared" si="1"/>
        <v>CNT</v>
      </c>
      <c r="C120" s="46" t="s">
        <v>523</v>
      </c>
      <c r="D120" s="47" t="s">
        <v>36</v>
      </c>
      <c r="E120" s="131" t="s">
        <v>524</v>
      </c>
      <c r="F120" s="51" t="s">
        <v>525</v>
      </c>
      <c r="G120" s="52"/>
      <c r="H120" s="58"/>
      <c r="I120" s="54"/>
      <c r="J120" s="55"/>
      <c r="K120" s="58"/>
      <c r="L120" s="58"/>
    </row>
    <row r="121" ht="50.25" customHeight="1">
      <c r="A121" s="40"/>
      <c r="B121" s="44" t="str">
        <f t="shared" si="1"/>
        <v>CNT</v>
      </c>
      <c r="C121" s="46" t="s">
        <v>526</v>
      </c>
      <c r="D121" s="47" t="s">
        <v>36</v>
      </c>
      <c r="E121" s="131" t="s">
        <v>527</v>
      </c>
      <c r="F121" s="51" t="s">
        <v>528</v>
      </c>
      <c r="G121" s="52"/>
      <c r="H121" s="58"/>
      <c r="I121" s="54"/>
      <c r="J121" s="55"/>
      <c r="K121" s="58"/>
      <c r="L121" s="58"/>
    </row>
    <row r="122" ht="50.25" customHeight="1">
      <c r="A122" s="40"/>
      <c r="B122" s="44" t="str">
        <f t="shared" si="1"/>
        <v>CNT</v>
      </c>
      <c r="C122" s="46" t="s">
        <v>529</v>
      </c>
      <c r="D122" s="47" t="s">
        <v>36</v>
      </c>
      <c r="E122" s="134" t="s">
        <v>530</v>
      </c>
      <c r="F122" s="51" t="s">
        <v>531</v>
      </c>
      <c r="G122" s="52"/>
      <c r="H122" s="58"/>
      <c r="I122" s="54"/>
      <c r="J122" s="55"/>
      <c r="K122" s="58"/>
      <c r="L122" s="58"/>
    </row>
    <row r="123" ht="50.25" customHeight="1">
      <c r="A123" s="40"/>
      <c r="B123" s="44" t="str">
        <f t="shared" si="1"/>
        <v>CNT</v>
      </c>
      <c r="C123" s="46" t="s">
        <v>30</v>
      </c>
      <c r="D123" s="47" t="s">
        <v>36</v>
      </c>
      <c r="E123" s="132" t="s">
        <v>532</v>
      </c>
      <c r="F123" s="51" t="s">
        <v>533</v>
      </c>
      <c r="G123" s="52"/>
      <c r="H123" s="58"/>
      <c r="I123" s="54"/>
      <c r="J123" s="55"/>
      <c r="K123" s="58"/>
      <c r="L123" s="58"/>
    </row>
    <row r="124" ht="50.25" customHeight="1">
      <c r="A124" s="40"/>
      <c r="B124" s="44" t="str">
        <f t="shared" si="1"/>
        <v>CNT</v>
      </c>
      <c r="C124" s="46" t="s">
        <v>144</v>
      </c>
      <c r="D124" s="142"/>
      <c r="E124" s="131" t="s">
        <v>534</v>
      </c>
      <c r="F124" s="51" t="s">
        <v>535</v>
      </c>
      <c r="G124" s="52" t="s">
        <v>536</v>
      </c>
      <c r="H124" s="58"/>
      <c r="I124" s="54"/>
      <c r="J124" s="55"/>
      <c r="K124" s="58"/>
      <c r="L124" s="58"/>
    </row>
    <row r="125" ht="50.25" customHeight="1">
      <c r="A125" s="40"/>
      <c r="B125" s="44" t="str">
        <f t="shared" si="1"/>
        <v>CNT</v>
      </c>
      <c r="C125" s="46" t="s">
        <v>537</v>
      </c>
      <c r="D125" s="142"/>
      <c r="E125" s="143" t="s">
        <v>538</v>
      </c>
      <c r="F125" s="51"/>
      <c r="G125" s="52"/>
      <c r="H125" s="58"/>
      <c r="I125" s="54"/>
      <c r="J125" s="55"/>
      <c r="K125" s="58"/>
      <c r="L125" s="58"/>
    </row>
    <row r="126" ht="50.25" customHeight="1">
      <c r="A126" s="40"/>
      <c r="B126" s="44" t="str">
        <f t="shared" si="1"/>
        <v>CNT</v>
      </c>
      <c r="C126" s="46" t="s">
        <v>539</v>
      </c>
      <c r="D126" s="142"/>
      <c r="E126" s="143" t="s">
        <v>540</v>
      </c>
      <c r="F126" s="51"/>
      <c r="G126" s="52"/>
      <c r="H126" s="58"/>
      <c r="I126" s="54"/>
      <c r="J126" s="55"/>
      <c r="K126" s="58"/>
      <c r="L126" s="58"/>
    </row>
    <row r="127" ht="50.25" customHeight="1">
      <c r="A127" s="40"/>
      <c r="B127" s="44" t="str">
        <f t="shared" si="1"/>
        <v>CNT</v>
      </c>
      <c r="C127" s="46" t="s">
        <v>541</v>
      </c>
      <c r="D127" s="142"/>
      <c r="E127" s="143" t="s">
        <v>542</v>
      </c>
      <c r="F127" s="51"/>
      <c r="G127" s="52"/>
      <c r="H127" s="58"/>
      <c r="I127" s="54"/>
      <c r="J127" s="55"/>
      <c r="K127" s="58"/>
      <c r="L127" s="58"/>
    </row>
    <row r="128" ht="50.25" customHeight="1">
      <c r="A128" s="40"/>
      <c r="B128" s="44" t="str">
        <f t="shared" si="1"/>
        <v>CNT</v>
      </c>
      <c r="C128" s="46" t="s">
        <v>543</v>
      </c>
      <c r="D128" s="142"/>
      <c r="E128" s="143" t="s">
        <v>544</v>
      </c>
      <c r="F128" s="51"/>
      <c r="G128" s="52"/>
      <c r="H128" s="58"/>
      <c r="I128" s="54"/>
      <c r="J128" s="55"/>
      <c r="K128" s="58"/>
      <c r="L128" s="58"/>
    </row>
    <row r="129" ht="50.25" customHeight="1">
      <c r="A129" s="40"/>
      <c r="B129" s="44" t="str">
        <f t="shared" si="1"/>
        <v>CNT</v>
      </c>
      <c r="C129" s="46" t="s">
        <v>545</v>
      </c>
      <c r="D129" s="142"/>
      <c r="E129" s="143" t="s">
        <v>546</v>
      </c>
      <c r="F129" s="51"/>
      <c r="G129" s="52"/>
      <c r="H129" s="58"/>
      <c r="I129" s="54"/>
      <c r="J129" s="55"/>
      <c r="K129" s="58"/>
      <c r="L129" s="58"/>
    </row>
    <row r="130" ht="50.25" customHeight="1">
      <c r="A130" s="40"/>
      <c r="B130" s="44" t="str">
        <f t="shared" si="1"/>
        <v>CNT</v>
      </c>
      <c r="C130" s="46" t="s">
        <v>547</v>
      </c>
      <c r="D130" s="142"/>
      <c r="E130" s="143" t="s">
        <v>548</v>
      </c>
      <c r="F130" s="51"/>
      <c r="G130" s="52"/>
      <c r="H130" s="58"/>
      <c r="I130" s="54"/>
      <c r="J130" s="55"/>
      <c r="K130" s="58"/>
      <c r="L130" s="58"/>
    </row>
    <row r="131" ht="50.25" customHeight="1">
      <c r="A131" s="40"/>
      <c r="B131" s="44" t="str">
        <f t="shared" si="1"/>
        <v>CNT</v>
      </c>
      <c r="C131" s="46" t="s">
        <v>549</v>
      </c>
      <c r="D131" s="142"/>
      <c r="E131" s="143" t="s">
        <v>550</v>
      </c>
      <c r="F131" s="51"/>
      <c r="G131" s="52"/>
      <c r="H131" s="58"/>
      <c r="I131" s="54"/>
      <c r="J131" s="55"/>
      <c r="K131" s="58"/>
      <c r="L131" s="58"/>
    </row>
    <row r="132" ht="50.25" customHeight="1">
      <c r="A132" s="40"/>
      <c r="B132" s="44" t="str">
        <f t="shared" si="1"/>
        <v>CNT</v>
      </c>
      <c r="C132" s="46" t="s">
        <v>551</v>
      </c>
      <c r="D132" s="142"/>
      <c r="E132" s="143" t="s">
        <v>552</v>
      </c>
      <c r="F132" s="51"/>
      <c r="G132" s="52"/>
      <c r="H132" s="58"/>
      <c r="I132" s="54"/>
      <c r="J132" s="55"/>
      <c r="K132" s="58"/>
      <c r="L132" s="58"/>
    </row>
    <row r="133" ht="50.25" customHeight="1">
      <c r="A133" s="40"/>
      <c r="B133" s="44" t="str">
        <f t="shared" si="1"/>
        <v>CNT</v>
      </c>
      <c r="C133" s="46" t="s">
        <v>553</v>
      </c>
      <c r="D133" s="142"/>
      <c r="E133" s="143" t="s">
        <v>554</v>
      </c>
      <c r="F133" s="51"/>
      <c r="G133" s="52"/>
      <c r="H133" s="58"/>
      <c r="I133" s="54"/>
      <c r="J133" s="55"/>
      <c r="K133" s="58"/>
      <c r="L133" s="58"/>
    </row>
    <row r="134" ht="50.25" customHeight="1">
      <c r="A134" s="40"/>
      <c r="B134" s="44" t="str">
        <f t="shared" si="1"/>
        <v>CNT</v>
      </c>
      <c r="C134" s="46" t="s">
        <v>555</v>
      </c>
      <c r="D134" s="142"/>
      <c r="E134" s="143" t="s">
        <v>554</v>
      </c>
      <c r="F134" s="51"/>
      <c r="G134" s="52"/>
      <c r="H134" s="58"/>
      <c r="I134" s="54"/>
      <c r="J134" s="55"/>
      <c r="K134" s="58"/>
      <c r="L134" s="58"/>
    </row>
    <row r="135" ht="50.25" customHeight="1">
      <c r="A135" s="40"/>
      <c r="B135" s="44" t="str">
        <f t="shared" si="1"/>
        <v>CNT</v>
      </c>
      <c r="C135" s="46" t="s">
        <v>556</v>
      </c>
      <c r="D135" s="142"/>
      <c r="E135" s="143" t="s">
        <v>557</v>
      </c>
      <c r="F135" s="51"/>
      <c r="G135" s="52"/>
      <c r="H135" s="58"/>
      <c r="I135" s="54"/>
      <c r="J135" s="55"/>
      <c r="K135" s="58"/>
      <c r="L135" s="58"/>
    </row>
    <row r="136" ht="50.25" customHeight="1">
      <c r="A136" s="40"/>
      <c r="B136" s="44" t="str">
        <f t="shared" si="1"/>
        <v>CNT</v>
      </c>
      <c r="C136" s="46" t="s">
        <v>558</v>
      </c>
      <c r="D136" s="142"/>
      <c r="E136" s="143" t="s">
        <v>559</v>
      </c>
      <c r="F136" s="51"/>
      <c r="G136" s="52"/>
      <c r="H136" s="58"/>
      <c r="I136" s="54"/>
      <c r="J136" s="55"/>
      <c r="K136" s="58"/>
      <c r="L136" s="58"/>
    </row>
    <row r="137" ht="50.25" customHeight="1">
      <c r="A137" s="40"/>
      <c r="B137" s="44" t="str">
        <f t="shared" si="1"/>
        <v>CNT</v>
      </c>
      <c r="C137" s="46" t="s">
        <v>560</v>
      </c>
      <c r="D137" s="142"/>
      <c r="E137" s="143" t="s">
        <v>561</v>
      </c>
      <c r="F137" s="51"/>
      <c r="G137" s="52"/>
      <c r="H137" s="58"/>
      <c r="I137" s="54"/>
      <c r="J137" s="55"/>
      <c r="K137" s="58"/>
      <c r="L137" s="58"/>
    </row>
    <row r="138" ht="50.25" customHeight="1">
      <c r="A138" s="40"/>
      <c r="B138" s="44" t="str">
        <f t="shared" si="1"/>
        <v>CNT</v>
      </c>
      <c r="C138" s="46" t="s">
        <v>562</v>
      </c>
      <c r="D138" s="142"/>
      <c r="E138" s="143" t="s">
        <v>563</v>
      </c>
      <c r="F138" s="51"/>
      <c r="G138" s="52"/>
      <c r="H138" s="58"/>
      <c r="I138" s="54"/>
      <c r="J138" s="55"/>
      <c r="K138" s="58"/>
      <c r="L138" s="58"/>
    </row>
    <row r="139" ht="50.25" customHeight="1">
      <c r="A139" s="40"/>
      <c r="B139" s="44" t="str">
        <f t="shared" si="1"/>
        <v>CNT</v>
      </c>
      <c r="C139" s="46" t="s">
        <v>564</v>
      </c>
      <c r="D139" s="142"/>
      <c r="E139" s="143" t="s">
        <v>565</v>
      </c>
      <c r="F139" s="51"/>
      <c r="G139" s="52"/>
      <c r="H139" s="58"/>
      <c r="I139" s="54"/>
      <c r="J139" s="55"/>
      <c r="K139" s="58"/>
      <c r="L139" s="58"/>
    </row>
    <row r="140" ht="50.25" customHeight="1">
      <c r="A140" s="40"/>
      <c r="B140" s="44" t="str">
        <f t="shared" si="1"/>
        <v>CNT</v>
      </c>
      <c r="C140" s="46" t="s">
        <v>566</v>
      </c>
      <c r="D140" s="142"/>
      <c r="E140" s="143" t="s">
        <v>567</v>
      </c>
      <c r="F140" s="51"/>
      <c r="G140" s="52"/>
      <c r="H140" s="58"/>
      <c r="I140" s="54"/>
      <c r="J140" s="55"/>
      <c r="K140" s="58"/>
      <c r="L140" s="58"/>
    </row>
    <row r="141" ht="50.25" customHeight="1">
      <c r="A141" s="40"/>
      <c r="B141" s="44" t="str">
        <f t="shared" si="1"/>
        <v>CNT</v>
      </c>
      <c r="C141" s="46" t="s">
        <v>568</v>
      </c>
      <c r="D141" s="142"/>
      <c r="E141" s="143" t="s">
        <v>569</v>
      </c>
      <c r="F141" s="51"/>
      <c r="G141" s="52"/>
      <c r="H141" s="58"/>
      <c r="I141" s="54"/>
      <c r="J141" s="55"/>
      <c r="K141" s="58"/>
      <c r="L141" s="58"/>
    </row>
    <row r="142" ht="50.25" customHeight="1">
      <c r="A142" s="40"/>
      <c r="B142" s="44" t="str">
        <f t="shared" si="1"/>
        <v>CNT</v>
      </c>
      <c r="C142" s="46" t="s">
        <v>570</v>
      </c>
      <c r="D142" s="142"/>
      <c r="E142" s="143" t="s">
        <v>571</v>
      </c>
      <c r="F142" s="51"/>
      <c r="G142" s="52"/>
      <c r="H142" s="58"/>
      <c r="I142" s="54"/>
      <c r="J142" s="55"/>
      <c r="K142" s="58"/>
      <c r="L142" s="58"/>
    </row>
    <row r="143" ht="50.25" customHeight="1">
      <c r="A143" s="40"/>
      <c r="B143" s="44" t="str">
        <f t="shared" si="1"/>
        <v>CNT</v>
      </c>
      <c r="C143" s="46" t="s">
        <v>572</v>
      </c>
      <c r="D143" s="142"/>
      <c r="E143" s="143" t="s">
        <v>573</v>
      </c>
      <c r="F143" s="51"/>
      <c r="G143" s="52"/>
      <c r="H143" s="58"/>
      <c r="I143" s="54"/>
      <c r="J143" s="55"/>
      <c r="K143" s="58"/>
      <c r="L143" s="58"/>
    </row>
    <row r="144" ht="50.25" customHeight="1">
      <c r="A144" s="40"/>
      <c r="B144" s="44" t="str">
        <f t="shared" si="1"/>
        <v>CNT</v>
      </c>
      <c r="C144" s="46" t="s">
        <v>574</v>
      </c>
      <c r="D144" s="142"/>
      <c r="E144" s="143" t="s">
        <v>575</v>
      </c>
      <c r="F144" s="51"/>
      <c r="G144" s="52"/>
      <c r="H144" s="58"/>
      <c r="I144" s="54"/>
      <c r="J144" s="55"/>
      <c r="K144" s="58"/>
      <c r="L144" s="58"/>
    </row>
    <row r="145" ht="50.25" customHeight="1">
      <c r="A145" s="40"/>
      <c r="B145" s="44" t="str">
        <f t="shared" si="1"/>
        <v>CNT</v>
      </c>
      <c r="C145" s="46" t="s">
        <v>576</v>
      </c>
      <c r="D145" s="142"/>
      <c r="E145" s="144"/>
      <c r="F145" s="51"/>
      <c r="G145" s="52"/>
      <c r="H145" s="58"/>
      <c r="I145" s="54"/>
      <c r="J145" s="55"/>
      <c r="K145" s="58"/>
      <c r="L145" s="58"/>
    </row>
    <row r="146" ht="50.25" customHeight="1">
      <c r="A146" s="40"/>
      <c r="B146" s="44" t="str">
        <f t="shared" si="1"/>
        <v>CNT</v>
      </c>
      <c r="C146" s="46"/>
      <c r="D146" s="142"/>
      <c r="E146" s="145"/>
      <c r="F146" s="51"/>
      <c r="G146" s="52"/>
      <c r="H146" s="58"/>
      <c r="I146" s="54"/>
      <c r="J146" s="55"/>
      <c r="K146" s="58"/>
      <c r="L146" s="58"/>
    </row>
    <row r="147" ht="50.25" customHeight="1">
      <c r="A147" s="40"/>
      <c r="B147" s="44" t="str">
        <f t="shared" si="1"/>
        <v>CNT</v>
      </c>
      <c r="C147" s="46"/>
      <c r="D147" s="142"/>
      <c r="E147" s="145"/>
      <c r="F147" s="51"/>
      <c r="G147" s="52"/>
      <c r="H147" s="58"/>
      <c r="I147" s="54"/>
      <c r="J147" s="55"/>
      <c r="K147" s="58"/>
      <c r="L147" s="58"/>
    </row>
    <row r="148" ht="50.25" customHeight="1">
      <c r="A148" s="40"/>
      <c r="B148" s="44" t="str">
        <f t="shared" si="1"/>
        <v>CNT</v>
      </c>
      <c r="C148" s="46"/>
      <c r="D148" s="142"/>
      <c r="E148" s="145"/>
      <c r="F148" s="51"/>
      <c r="G148" s="52"/>
      <c r="H148" s="58"/>
      <c r="I148" s="54"/>
      <c r="J148" s="55"/>
      <c r="K148" s="58"/>
      <c r="L148" s="58"/>
    </row>
    <row r="149" ht="50.25" customHeight="1">
      <c r="A149" s="40"/>
      <c r="B149" s="44" t="str">
        <f t="shared" si="1"/>
        <v>CNT</v>
      </c>
      <c r="C149" s="46"/>
      <c r="D149" s="142"/>
      <c r="E149" s="145"/>
      <c r="F149" s="51"/>
      <c r="G149" s="52"/>
      <c r="H149" s="58"/>
      <c r="I149" s="54"/>
      <c r="J149" s="55"/>
      <c r="K149" s="58"/>
      <c r="L149" s="58"/>
    </row>
    <row r="150" ht="50.25" customHeight="1">
      <c r="A150" s="40"/>
      <c r="B150" s="44" t="str">
        <f t="shared" si="1"/>
        <v>CNT</v>
      </c>
      <c r="C150" s="46"/>
      <c r="D150" s="142"/>
      <c r="E150" s="145"/>
      <c r="F150" s="51"/>
      <c r="G150" s="52"/>
      <c r="H150" s="58"/>
      <c r="I150" s="54"/>
      <c r="J150" s="55"/>
      <c r="K150" s="58"/>
      <c r="L150" s="58"/>
    </row>
    <row r="151" ht="50.25" customHeight="1">
      <c r="A151" s="40"/>
      <c r="B151" s="44" t="str">
        <f t="shared" si="1"/>
        <v>CNT</v>
      </c>
      <c r="C151" s="46"/>
      <c r="D151" s="142"/>
      <c r="E151" s="145"/>
      <c r="F151" s="51"/>
      <c r="G151" s="52"/>
      <c r="H151" s="58"/>
      <c r="I151" s="54"/>
      <c r="J151" s="55"/>
      <c r="K151" s="58"/>
      <c r="L151" s="58"/>
    </row>
    <row r="152" ht="50.25" customHeight="1">
      <c r="A152" s="40"/>
      <c r="B152" s="44" t="str">
        <f t="shared" si="1"/>
        <v>CNT</v>
      </c>
      <c r="C152" s="46"/>
      <c r="D152" s="142"/>
      <c r="E152" s="145"/>
      <c r="F152" s="51"/>
      <c r="G152" s="52"/>
      <c r="H152" s="58"/>
      <c r="I152" s="54"/>
      <c r="J152" s="55"/>
      <c r="K152" s="58"/>
      <c r="L152" s="58"/>
    </row>
    <row r="153" ht="50.25" customHeight="1">
      <c r="A153" s="40"/>
      <c r="B153" s="44" t="str">
        <f t="shared" si="1"/>
        <v>CNT</v>
      </c>
      <c r="C153" s="46"/>
      <c r="D153" s="142"/>
      <c r="E153" s="145"/>
      <c r="F153" s="51"/>
      <c r="G153" s="52"/>
      <c r="H153" s="58"/>
      <c r="I153" s="54"/>
      <c r="J153" s="55"/>
      <c r="K153" s="58"/>
      <c r="L153" s="58"/>
    </row>
    <row r="154" ht="50.25" customHeight="1">
      <c r="A154" s="40"/>
      <c r="B154" s="44" t="str">
        <f t="shared" si="1"/>
        <v>CNT</v>
      </c>
      <c r="C154" s="46"/>
      <c r="D154" s="142"/>
      <c r="E154" s="145"/>
      <c r="F154" s="51"/>
      <c r="G154" s="52"/>
      <c r="H154" s="58"/>
      <c r="I154" s="54"/>
      <c r="J154" s="55"/>
      <c r="K154" s="58"/>
      <c r="L154" s="58"/>
    </row>
    <row r="155" ht="50.25" customHeight="1">
      <c r="A155" s="40"/>
      <c r="B155" s="44" t="str">
        <f t="shared" si="1"/>
        <v>CNT</v>
      </c>
      <c r="C155" s="46"/>
      <c r="D155" s="142"/>
      <c r="E155" s="145"/>
      <c r="F155" s="51"/>
      <c r="G155" s="52"/>
      <c r="H155" s="58"/>
      <c r="I155" s="54"/>
      <c r="J155" s="55"/>
      <c r="K155" s="58"/>
      <c r="L155" s="58"/>
    </row>
    <row r="156" ht="50.25" customHeight="1">
      <c r="A156" s="40"/>
      <c r="B156" s="44" t="str">
        <f t="shared" si="1"/>
        <v>CNT</v>
      </c>
      <c r="C156" s="46"/>
      <c r="D156" s="142"/>
      <c r="E156" s="145"/>
      <c r="F156" s="51"/>
      <c r="G156" s="52"/>
      <c r="H156" s="58"/>
      <c r="I156" s="54"/>
      <c r="J156" s="55"/>
      <c r="K156" s="58"/>
      <c r="L156" s="58"/>
    </row>
    <row r="157" ht="50.25" customHeight="1">
      <c r="A157" s="40"/>
      <c r="B157" s="44" t="str">
        <f t="shared" si="1"/>
        <v>CNT</v>
      </c>
      <c r="C157" s="46"/>
      <c r="D157" s="142"/>
      <c r="E157" s="145"/>
      <c r="F157" s="51"/>
      <c r="G157" s="52"/>
      <c r="H157" s="58"/>
      <c r="I157" s="54"/>
      <c r="J157" s="55"/>
      <c r="K157" s="58"/>
      <c r="L157" s="58"/>
    </row>
    <row r="158" ht="50.25" customHeight="1">
      <c r="A158" s="40"/>
      <c r="B158" s="44" t="str">
        <f t="shared" si="1"/>
        <v>CNT</v>
      </c>
      <c r="C158" s="46"/>
      <c r="D158" s="142"/>
      <c r="E158" s="145"/>
      <c r="F158" s="51"/>
      <c r="G158" s="52"/>
      <c r="H158" s="58"/>
      <c r="I158" s="54"/>
      <c r="J158" s="55"/>
      <c r="K158" s="58"/>
      <c r="L158" s="58"/>
    </row>
    <row r="159" ht="50.25" customHeight="1">
      <c r="A159" s="40"/>
      <c r="B159" s="44" t="str">
        <f t="shared" si="1"/>
        <v>CNT</v>
      </c>
      <c r="C159" s="46"/>
      <c r="D159" s="142"/>
      <c r="E159" s="145"/>
      <c r="F159" s="51"/>
      <c r="G159" s="52"/>
      <c r="H159" s="58"/>
      <c r="I159" s="54"/>
      <c r="J159" s="55"/>
      <c r="K159" s="58"/>
      <c r="L159" s="58"/>
    </row>
    <row r="160" ht="50.25" customHeight="1">
      <c r="A160" s="40"/>
      <c r="B160" s="44" t="str">
        <f t="shared" si="1"/>
        <v>CNT</v>
      </c>
      <c r="C160" s="46"/>
      <c r="D160" s="142"/>
      <c r="E160" s="145"/>
      <c r="F160" s="51"/>
      <c r="G160" s="52"/>
      <c r="H160" s="58"/>
      <c r="I160" s="54"/>
      <c r="J160" s="55"/>
      <c r="K160" s="58"/>
      <c r="L160" s="58"/>
    </row>
    <row r="161" ht="50.25" customHeight="1">
      <c r="A161" s="40"/>
      <c r="B161" s="44" t="str">
        <f t="shared" si="1"/>
        <v>CNT</v>
      </c>
      <c r="C161" s="46"/>
      <c r="D161" s="142"/>
      <c r="E161" s="145"/>
      <c r="F161" s="51"/>
      <c r="G161" s="52"/>
      <c r="H161" s="58"/>
      <c r="I161" s="54"/>
      <c r="J161" s="55"/>
      <c r="K161" s="58"/>
      <c r="L161" s="58"/>
    </row>
    <row r="162" ht="50.25" customHeight="1">
      <c r="A162" s="40"/>
      <c r="B162" s="44" t="str">
        <f t="shared" si="1"/>
        <v>CNT</v>
      </c>
      <c r="C162" s="46"/>
      <c r="D162" s="142"/>
      <c r="E162" s="145"/>
      <c r="F162" s="51"/>
      <c r="G162" s="52"/>
      <c r="H162" s="58"/>
      <c r="I162" s="54"/>
      <c r="J162" s="55"/>
      <c r="K162" s="58"/>
      <c r="L162" s="58"/>
    </row>
    <row r="163" ht="50.25" customHeight="1">
      <c r="A163" s="40"/>
      <c r="B163" s="44" t="str">
        <f t="shared" si="1"/>
        <v>CNT</v>
      </c>
      <c r="C163" s="46"/>
      <c r="D163" s="142"/>
      <c r="E163" s="145"/>
      <c r="F163" s="51"/>
      <c r="G163" s="52"/>
      <c r="H163" s="58"/>
      <c r="I163" s="54"/>
      <c r="J163" s="55"/>
      <c r="K163" s="58"/>
      <c r="L163" s="58"/>
    </row>
    <row r="164" ht="50.25" customHeight="1">
      <c r="A164" s="40"/>
      <c r="B164" s="44" t="str">
        <f t="shared" si="1"/>
        <v>CNT</v>
      </c>
      <c r="C164" s="46"/>
      <c r="D164" s="142"/>
      <c r="E164" s="146"/>
      <c r="F164" s="51"/>
      <c r="G164" s="52"/>
      <c r="H164" s="58"/>
      <c r="I164" s="54"/>
      <c r="J164" s="55"/>
      <c r="K164" s="58"/>
      <c r="L164" s="58"/>
    </row>
    <row r="165" ht="50.25" customHeight="1">
      <c r="A165" s="40"/>
      <c r="B165" s="44" t="str">
        <f t="shared" si="1"/>
        <v>CNT</v>
      </c>
      <c r="C165" s="46"/>
      <c r="D165" s="142"/>
      <c r="E165" s="146"/>
      <c r="F165" s="51"/>
      <c r="G165" s="52"/>
      <c r="H165" s="58"/>
      <c r="I165" s="54"/>
      <c r="J165" s="55"/>
      <c r="K165" s="58"/>
      <c r="L165" s="58"/>
    </row>
    <row r="166" ht="50.25" customHeight="1">
      <c r="A166" s="40"/>
      <c r="B166" s="44" t="str">
        <f t="shared" si="1"/>
        <v>CNT</v>
      </c>
      <c r="C166" s="46"/>
      <c r="D166" s="142"/>
      <c r="E166" s="146"/>
      <c r="F166" s="51"/>
      <c r="G166" s="52"/>
      <c r="H166" s="58"/>
      <c r="I166" s="54"/>
      <c r="J166" s="55"/>
      <c r="K166" s="58"/>
      <c r="L166" s="58"/>
    </row>
    <row r="167" ht="50.25" customHeight="1">
      <c r="A167" s="40"/>
      <c r="B167" s="44" t="str">
        <f t="shared" si="1"/>
        <v>CNT</v>
      </c>
      <c r="C167" s="46"/>
      <c r="D167" s="142"/>
      <c r="E167" s="146"/>
      <c r="F167" s="51"/>
      <c r="G167" s="52"/>
      <c r="H167" s="58"/>
      <c r="I167" s="54"/>
      <c r="J167" s="55"/>
      <c r="K167" s="58"/>
      <c r="L167" s="58"/>
    </row>
    <row r="168" ht="50.25" customHeight="1">
      <c r="A168" s="40"/>
      <c r="B168" s="44" t="str">
        <f t="shared" si="1"/>
        <v>CNT</v>
      </c>
      <c r="C168" s="46"/>
      <c r="D168" s="142"/>
      <c r="E168" s="146"/>
      <c r="F168" s="51"/>
      <c r="G168" s="52"/>
      <c r="H168" s="58"/>
      <c r="I168" s="54"/>
      <c r="J168" s="55"/>
      <c r="K168" s="58"/>
      <c r="L168" s="58"/>
    </row>
    <row r="169" ht="50.25" customHeight="1">
      <c r="A169" s="40"/>
      <c r="B169" s="44" t="str">
        <f t="shared" si="1"/>
        <v>CNT</v>
      </c>
      <c r="C169" s="46"/>
      <c r="D169" s="142"/>
      <c r="E169" s="146"/>
      <c r="F169" s="51"/>
      <c r="G169" s="52"/>
      <c r="H169" s="58"/>
      <c r="I169" s="54"/>
      <c r="J169" s="55"/>
      <c r="K169" s="58"/>
      <c r="L169" s="58"/>
    </row>
    <row r="170" ht="50.25" customHeight="1">
      <c r="A170" s="40"/>
      <c r="B170" s="44" t="str">
        <f t="shared" si="1"/>
        <v>CNT</v>
      </c>
      <c r="C170" s="46"/>
      <c r="D170" s="142"/>
      <c r="E170" s="146"/>
      <c r="F170" s="51"/>
      <c r="G170" s="52"/>
      <c r="H170" s="58"/>
      <c r="I170" s="54"/>
      <c r="J170" s="55"/>
      <c r="K170" s="58"/>
      <c r="L170" s="58"/>
    </row>
    <row r="171" ht="50.25" customHeight="1">
      <c r="A171" s="40"/>
      <c r="B171" s="44" t="str">
        <f t="shared" si="1"/>
        <v>CNT</v>
      </c>
      <c r="C171" s="46"/>
      <c r="D171" s="142"/>
      <c r="E171" s="146"/>
      <c r="F171" s="51"/>
      <c r="G171" s="52"/>
      <c r="H171" s="58"/>
      <c r="I171" s="54"/>
      <c r="J171" s="55"/>
      <c r="K171" s="58"/>
      <c r="L171" s="58"/>
    </row>
    <row r="172" ht="50.25" customHeight="1">
      <c r="A172" s="40"/>
      <c r="B172" s="44" t="str">
        <f t="shared" si="1"/>
        <v>CNT</v>
      </c>
      <c r="C172" s="46"/>
      <c r="D172" s="142"/>
      <c r="E172" s="146"/>
      <c r="F172" s="51"/>
      <c r="G172" s="52"/>
      <c r="H172" s="58"/>
      <c r="I172" s="54"/>
      <c r="J172" s="55"/>
      <c r="K172" s="58"/>
      <c r="L172" s="58"/>
    </row>
    <row r="173" ht="50.25" customHeight="1">
      <c r="A173" s="40"/>
      <c r="B173" s="44" t="str">
        <f t="shared" si="1"/>
        <v>CNT</v>
      </c>
      <c r="C173" s="46"/>
      <c r="D173" s="142"/>
      <c r="E173" s="146"/>
      <c r="F173" s="51"/>
      <c r="G173" s="52"/>
      <c r="H173" s="58"/>
      <c r="I173" s="54"/>
      <c r="J173" s="55"/>
      <c r="K173" s="58"/>
      <c r="L173" s="58"/>
    </row>
    <row r="174" ht="50.25" customHeight="1">
      <c r="A174" s="40"/>
      <c r="B174" s="44" t="str">
        <f t="shared" si="1"/>
        <v>CNT</v>
      </c>
      <c r="C174" s="46"/>
      <c r="D174" s="142"/>
      <c r="E174" s="146"/>
      <c r="F174" s="51"/>
      <c r="G174" s="52"/>
      <c r="H174" s="58"/>
      <c r="I174" s="54"/>
      <c r="J174" s="55"/>
      <c r="K174" s="58"/>
      <c r="L174" s="58"/>
    </row>
    <row r="175" ht="50.25" customHeight="1">
      <c r="A175" s="40"/>
      <c r="B175" s="44" t="str">
        <f t="shared" si="1"/>
        <v>CNT</v>
      </c>
      <c r="C175" s="46"/>
      <c r="D175" s="142"/>
      <c r="E175" s="146"/>
      <c r="F175" s="51"/>
      <c r="G175" s="52"/>
      <c r="H175" s="58"/>
      <c r="I175" s="54"/>
      <c r="J175" s="55"/>
      <c r="K175" s="58"/>
      <c r="L175" s="58"/>
    </row>
    <row r="176" ht="50.25" customHeight="1">
      <c r="A176" s="40"/>
      <c r="B176" s="44" t="str">
        <f t="shared" si="1"/>
        <v>CNT</v>
      </c>
      <c r="C176" s="46"/>
      <c r="D176" s="142"/>
      <c r="E176" s="146"/>
      <c r="F176" s="51"/>
      <c r="G176" s="52"/>
      <c r="H176" s="58"/>
      <c r="I176" s="54"/>
      <c r="J176" s="55"/>
      <c r="K176" s="58"/>
      <c r="L176" s="58"/>
    </row>
    <row r="177" ht="50.25" customHeight="1">
      <c r="A177" s="40"/>
      <c r="B177" s="44" t="str">
        <f t="shared" si="1"/>
        <v>CNT</v>
      </c>
      <c r="C177" s="46"/>
      <c r="D177" s="142"/>
      <c r="E177" s="146"/>
      <c r="F177" s="51"/>
      <c r="G177" s="52"/>
      <c r="H177" s="58"/>
      <c r="I177" s="54"/>
      <c r="J177" s="55"/>
      <c r="K177" s="58"/>
      <c r="L177" s="58"/>
    </row>
    <row r="178" ht="50.25" customHeight="1">
      <c r="A178" s="40"/>
      <c r="B178" s="44" t="str">
        <f t="shared" si="1"/>
        <v>CNT</v>
      </c>
      <c r="C178" s="46"/>
      <c r="D178" s="142"/>
      <c r="E178" s="146"/>
      <c r="F178" s="51"/>
      <c r="G178" s="52"/>
      <c r="H178" s="58"/>
      <c r="I178" s="54"/>
      <c r="J178" s="55"/>
      <c r="K178" s="58"/>
      <c r="L178" s="58"/>
    </row>
    <row r="179" ht="50.25" customHeight="1">
      <c r="A179" s="40"/>
      <c r="B179" s="44" t="str">
        <f t="shared" si="1"/>
        <v>CNT</v>
      </c>
      <c r="C179" s="46"/>
      <c r="D179" s="142"/>
      <c r="E179" s="146"/>
      <c r="F179" s="51"/>
      <c r="G179" s="52"/>
      <c r="H179" s="58"/>
      <c r="I179" s="54"/>
      <c r="J179" s="55"/>
      <c r="K179" s="58"/>
      <c r="L179" s="58"/>
    </row>
    <row r="180" ht="50.25" customHeight="1">
      <c r="A180" s="40"/>
      <c r="B180" s="44" t="str">
        <f t="shared" si="1"/>
        <v>CNT</v>
      </c>
      <c r="C180" s="46"/>
      <c r="D180" s="142"/>
      <c r="E180" s="146"/>
      <c r="F180" s="51"/>
      <c r="G180" s="52"/>
      <c r="H180" s="58"/>
      <c r="I180" s="54"/>
      <c r="J180" s="55"/>
      <c r="K180" s="58"/>
      <c r="L180" s="58"/>
    </row>
    <row r="181" ht="50.25" customHeight="1">
      <c r="A181" s="40"/>
      <c r="B181" s="44" t="str">
        <f t="shared" si="1"/>
        <v>CNT</v>
      </c>
      <c r="C181" s="46"/>
      <c r="D181" s="142"/>
      <c r="E181" s="146"/>
      <c r="F181" s="51"/>
      <c r="G181" s="52"/>
      <c r="H181" s="58"/>
      <c r="I181" s="54"/>
      <c r="J181" s="55"/>
      <c r="K181" s="58"/>
      <c r="L181" s="58"/>
    </row>
    <row r="182" ht="50.25" customHeight="1">
      <c r="A182" s="40"/>
      <c r="B182" s="44" t="str">
        <f t="shared" si="1"/>
        <v>CNT</v>
      </c>
      <c r="C182" s="46"/>
      <c r="D182" s="142"/>
      <c r="E182" s="146"/>
      <c r="F182" s="51"/>
      <c r="G182" s="52"/>
      <c r="H182" s="58"/>
      <c r="I182" s="54"/>
      <c r="J182" s="55"/>
      <c r="K182" s="58"/>
      <c r="L182" s="58"/>
    </row>
    <row r="183" ht="50.25" customHeight="1">
      <c r="A183" s="40"/>
      <c r="B183" s="44" t="str">
        <f t="shared" si="1"/>
        <v>CNT</v>
      </c>
      <c r="C183" s="46"/>
      <c r="D183" s="142"/>
      <c r="E183" s="146"/>
      <c r="F183" s="51"/>
      <c r="G183" s="52"/>
      <c r="H183" s="58"/>
      <c r="I183" s="54"/>
      <c r="J183" s="55"/>
      <c r="K183" s="58"/>
      <c r="L183" s="58"/>
    </row>
    <row r="184" ht="50.25" customHeight="1">
      <c r="A184" s="40"/>
      <c r="B184" s="44" t="str">
        <f t="shared" si="1"/>
        <v>CNT</v>
      </c>
      <c r="C184" s="46"/>
      <c r="D184" s="142"/>
      <c r="E184" s="146"/>
      <c r="F184" s="51"/>
      <c r="G184" s="52"/>
      <c r="H184" s="58"/>
      <c r="I184" s="54"/>
      <c r="J184" s="55"/>
      <c r="K184" s="58"/>
      <c r="L184" s="58"/>
    </row>
    <row r="185" ht="50.25" customHeight="1">
      <c r="A185" s="40"/>
      <c r="B185" s="44" t="str">
        <f t="shared" si="1"/>
        <v>CNT</v>
      </c>
      <c r="C185" s="46"/>
      <c r="D185" s="142"/>
      <c r="E185" s="146"/>
      <c r="F185" s="51"/>
      <c r="G185" s="52"/>
      <c r="H185" s="58"/>
      <c r="I185" s="54"/>
      <c r="J185" s="55"/>
      <c r="K185" s="58"/>
      <c r="L185" s="58"/>
    </row>
    <row r="186" ht="50.25" customHeight="1">
      <c r="A186" s="40"/>
      <c r="B186" s="44" t="str">
        <f t="shared" si="1"/>
        <v>CNT</v>
      </c>
      <c r="C186" s="46"/>
      <c r="D186" s="142"/>
      <c r="E186" s="146"/>
      <c r="F186" s="51"/>
      <c r="G186" s="52"/>
      <c r="H186" s="58"/>
      <c r="I186" s="54"/>
      <c r="J186" s="55"/>
      <c r="K186" s="58"/>
      <c r="L186" s="58"/>
    </row>
    <row r="187" ht="50.25" customHeight="1">
      <c r="A187" s="40"/>
      <c r="B187" s="44" t="str">
        <f t="shared" si="1"/>
        <v>CNT</v>
      </c>
      <c r="C187" s="46"/>
      <c r="D187" s="142"/>
      <c r="E187" s="146"/>
      <c r="F187" s="51"/>
      <c r="G187" s="52"/>
      <c r="H187" s="58"/>
      <c r="I187" s="54"/>
      <c r="J187" s="55"/>
      <c r="K187" s="58"/>
      <c r="L187" s="58"/>
    </row>
    <row r="188" ht="50.25" customHeight="1">
      <c r="A188" s="40"/>
      <c r="B188" s="44" t="str">
        <f t="shared" si="1"/>
        <v>CNT</v>
      </c>
      <c r="C188" s="46"/>
      <c r="D188" s="142"/>
      <c r="E188" s="146"/>
      <c r="F188" s="51"/>
      <c r="G188" s="52"/>
      <c r="H188" s="58"/>
      <c r="I188" s="54"/>
      <c r="J188" s="55"/>
      <c r="K188" s="58"/>
      <c r="L188" s="58"/>
    </row>
    <row r="189" ht="50.25" customHeight="1">
      <c r="A189" s="40"/>
      <c r="B189" s="44" t="str">
        <f t="shared" si="1"/>
        <v>CNT</v>
      </c>
      <c r="C189" s="46"/>
      <c r="D189" s="142"/>
      <c r="E189" s="146"/>
      <c r="F189" s="51"/>
      <c r="G189" s="52"/>
      <c r="H189" s="58"/>
      <c r="I189" s="54"/>
      <c r="J189" s="55"/>
      <c r="K189" s="58"/>
      <c r="L189" s="58"/>
    </row>
    <row r="190" ht="50.25" customHeight="1">
      <c r="A190" s="40"/>
      <c r="B190" s="44" t="str">
        <f t="shared" si="1"/>
        <v>CNT</v>
      </c>
      <c r="C190" s="46"/>
      <c r="D190" s="142"/>
      <c r="E190" s="146"/>
      <c r="F190" s="51"/>
      <c r="G190" s="52"/>
      <c r="H190" s="58"/>
      <c r="I190" s="54"/>
      <c r="J190" s="55"/>
      <c r="K190" s="58"/>
      <c r="L190" s="58"/>
    </row>
    <row r="191" ht="50.25" customHeight="1">
      <c r="A191" s="40"/>
      <c r="B191" s="44" t="str">
        <f t="shared" si="1"/>
        <v>CNT</v>
      </c>
      <c r="C191" s="46"/>
      <c r="D191" s="142"/>
      <c r="E191" s="146"/>
      <c r="F191" s="51"/>
      <c r="G191" s="52"/>
      <c r="H191" s="58"/>
      <c r="I191" s="54"/>
      <c r="J191" s="55"/>
      <c r="K191" s="58"/>
      <c r="L191" s="58"/>
    </row>
    <row r="192" ht="50.25" customHeight="1">
      <c r="A192" s="40"/>
      <c r="B192" s="44" t="str">
        <f t="shared" si="1"/>
        <v>CNT</v>
      </c>
      <c r="C192" s="46"/>
      <c r="D192" s="142"/>
      <c r="E192" s="146"/>
      <c r="F192" s="51"/>
      <c r="G192" s="52"/>
      <c r="H192" s="58"/>
      <c r="I192" s="54"/>
      <c r="J192" s="55"/>
      <c r="K192" s="58"/>
      <c r="L192" s="58"/>
    </row>
    <row r="193" ht="50.25" customHeight="1">
      <c r="A193" s="40"/>
      <c r="B193" s="44" t="str">
        <f t="shared" si="1"/>
        <v>CNT</v>
      </c>
      <c r="C193" s="46"/>
      <c r="D193" s="142"/>
      <c r="E193" s="146"/>
      <c r="F193" s="51"/>
      <c r="G193" s="52"/>
      <c r="H193" s="58"/>
      <c r="I193" s="54"/>
      <c r="J193" s="55"/>
      <c r="K193" s="58"/>
      <c r="L193" s="58"/>
    </row>
    <row r="194" ht="50.25" customHeight="1">
      <c r="A194" s="40"/>
      <c r="B194" s="44" t="str">
        <f t="shared" si="1"/>
        <v>CNT</v>
      </c>
      <c r="C194" s="46"/>
      <c r="D194" s="142"/>
      <c r="E194" s="146"/>
      <c r="F194" s="51"/>
      <c r="G194" s="52"/>
      <c r="H194" s="58"/>
      <c r="I194" s="54"/>
      <c r="J194" s="55"/>
      <c r="K194" s="58"/>
      <c r="L194" s="58"/>
    </row>
    <row r="195" ht="50.25" customHeight="1">
      <c r="A195" s="40"/>
      <c r="B195" s="44" t="str">
        <f t="shared" si="1"/>
        <v>CNT</v>
      </c>
      <c r="C195" s="46"/>
      <c r="D195" s="142"/>
      <c r="E195" s="146"/>
      <c r="F195" s="51"/>
      <c r="G195" s="52"/>
      <c r="H195" s="58"/>
      <c r="I195" s="54"/>
      <c r="J195" s="55"/>
      <c r="K195" s="58"/>
      <c r="L195" s="58"/>
    </row>
    <row r="196" ht="50.25" customHeight="1">
      <c r="A196" s="40"/>
      <c r="B196" s="44" t="str">
        <f t="shared" si="1"/>
        <v>CNT</v>
      </c>
      <c r="C196" s="46"/>
      <c r="D196" s="142"/>
      <c r="E196" s="146"/>
      <c r="F196" s="51"/>
      <c r="G196" s="52"/>
      <c r="H196" s="58"/>
      <c r="I196" s="54"/>
      <c r="J196" s="55"/>
      <c r="K196" s="58"/>
      <c r="L196" s="58"/>
    </row>
    <row r="197" ht="50.25" customHeight="1">
      <c r="A197" s="40"/>
      <c r="B197" s="44" t="str">
        <f t="shared" si="1"/>
        <v>CNT</v>
      </c>
      <c r="C197" s="46"/>
      <c r="D197" s="142"/>
      <c r="E197" s="146"/>
      <c r="F197" s="51"/>
      <c r="G197" s="52"/>
      <c r="H197" s="58"/>
      <c r="I197" s="54"/>
      <c r="J197" s="55"/>
      <c r="K197" s="58"/>
      <c r="L197" s="58"/>
    </row>
    <row r="198" ht="50.25" customHeight="1">
      <c r="A198" s="40"/>
      <c r="B198" s="44" t="str">
        <f t="shared" si="1"/>
        <v>CNT</v>
      </c>
      <c r="C198" s="46"/>
      <c r="D198" s="142"/>
      <c r="E198" s="146"/>
      <c r="F198" s="51"/>
      <c r="G198" s="52"/>
      <c r="H198" s="58"/>
      <c r="I198" s="54"/>
      <c r="J198" s="55"/>
      <c r="K198" s="58"/>
      <c r="L198" s="58"/>
    </row>
    <row r="199" ht="50.25" customHeight="1">
      <c r="A199" s="40"/>
      <c r="B199" s="44" t="str">
        <f t="shared" si="1"/>
        <v>CNT</v>
      </c>
      <c r="C199" s="46"/>
      <c r="D199" s="142"/>
      <c r="E199" s="146"/>
      <c r="F199" s="51"/>
      <c r="G199" s="52"/>
      <c r="H199" s="58"/>
      <c r="I199" s="54"/>
      <c r="J199" s="55"/>
      <c r="K199" s="58"/>
      <c r="L199" s="58"/>
    </row>
    <row r="200" ht="50.25" customHeight="1">
      <c r="A200" s="40"/>
      <c r="B200" s="44" t="str">
        <f t="shared" si="1"/>
        <v>CNT</v>
      </c>
      <c r="C200" s="46"/>
      <c r="D200" s="142"/>
      <c r="E200" s="146"/>
      <c r="F200" s="51"/>
      <c r="G200" s="52"/>
      <c r="H200" s="58"/>
      <c r="I200" s="54"/>
      <c r="J200" s="55"/>
      <c r="K200" s="58"/>
      <c r="L200" s="58"/>
    </row>
    <row r="201" ht="50.25" customHeight="1">
      <c r="A201" s="40"/>
      <c r="B201" s="44" t="str">
        <f t="shared" si="1"/>
        <v>CNT</v>
      </c>
      <c r="C201" s="46"/>
      <c r="D201" s="142"/>
      <c r="E201" s="146"/>
      <c r="F201" s="51"/>
      <c r="G201" s="52"/>
      <c r="H201" s="58"/>
      <c r="I201" s="54"/>
      <c r="J201" s="55"/>
      <c r="K201" s="58"/>
      <c r="L201" s="58"/>
    </row>
    <row r="202" ht="50.25" customHeight="1">
      <c r="A202" s="40"/>
      <c r="B202" s="44" t="str">
        <f t="shared" si="1"/>
        <v>CNT</v>
      </c>
      <c r="C202" s="46"/>
      <c r="D202" s="142"/>
      <c r="E202" s="146"/>
      <c r="F202" s="51"/>
      <c r="G202" s="52"/>
      <c r="H202" s="58"/>
      <c r="I202" s="54"/>
      <c r="J202" s="55"/>
      <c r="K202" s="58"/>
      <c r="L202" s="58"/>
    </row>
    <row r="203" ht="50.25" customHeight="1">
      <c r="A203" s="40"/>
      <c r="B203" s="44" t="str">
        <f t="shared" si="1"/>
        <v>CNT</v>
      </c>
      <c r="C203" s="46"/>
      <c r="D203" s="142"/>
      <c r="E203" s="146"/>
      <c r="F203" s="51"/>
      <c r="G203" s="52"/>
      <c r="H203" s="58"/>
      <c r="I203" s="54"/>
      <c r="J203" s="55"/>
      <c r="K203" s="58"/>
      <c r="L203" s="58"/>
    </row>
    <row r="204" ht="50.25" customHeight="1">
      <c r="A204" s="40"/>
      <c r="B204" s="44" t="str">
        <f t="shared" si="1"/>
        <v>CNT</v>
      </c>
      <c r="C204" s="46"/>
      <c r="D204" s="142"/>
      <c r="E204" s="146"/>
      <c r="F204" s="51"/>
      <c r="G204" s="52"/>
      <c r="H204" s="58"/>
      <c r="I204" s="54"/>
      <c r="J204" s="55"/>
      <c r="K204" s="58"/>
      <c r="L204" s="58"/>
    </row>
    <row r="205" ht="50.25" customHeight="1">
      <c r="A205" s="40"/>
      <c r="B205" s="44" t="str">
        <f t="shared" si="1"/>
        <v>CNT</v>
      </c>
      <c r="C205" s="46"/>
      <c r="D205" s="142"/>
      <c r="E205" s="146"/>
      <c r="F205" s="51"/>
      <c r="G205" s="52"/>
      <c r="H205" s="58"/>
      <c r="I205" s="54"/>
      <c r="J205" s="55"/>
      <c r="K205" s="58"/>
      <c r="L205" s="58"/>
    </row>
    <row r="206" ht="50.25" customHeight="1">
      <c r="A206" s="40"/>
      <c r="B206" s="44" t="str">
        <f t="shared" si="1"/>
        <v>CNT</v>
      </c>
      <c r="C206" s="46"/>
      <c r="D206" s="142"/>
      <c r="E206" s="146"/>
      <c r="F206" s="51"/>
      <c r="G206" s="52"/>
      <c r="H206" s="58"/>
      <c r="I206" s="54"/>
      <c r="J206" s="55"/>
      <c r="K206" s="58"/>
      <c r="L206" s="58"/>
    </row>
    <row r="207" ht="50.25" customHeight="1">
      <c r="A207" s="40"/>
      <c r="B207" s="44" t="str">
        <f t="shared" si="1"/>
        <v>CNT</v>
      </c>
      <c r="C207" s="46"/>
      <c r="D207" s="142"/>
      <c r="E207" s="146"/>
      <c r="F207" s="51"/>
      <c r="G207" s="52"/>
      <c r="H207" s="58"/>
      <c r="I207" s="54"/>
      <c r="J207" s="55"/>
      <c r="K207" s="58"/>
      <c r="L207" s="58"/>
    </row>
    <row r="208" ht="50.25" customHeight="1">
      <c r="A208" s="40"/>
      <c r="B208" s="44" t="str">
        <f t="shared" si="1"/>
        <v>CNT</v>
      </c>
      <c r="C208" s="46"/>
      <c r="D208" s="142"/>
      <c r="E208" s="146"/>
      <c r="F208" s="51"/>
      <c r="G208" s="52"/>
      <c r="H208" s="58"/>
      <c r="I208" s="54"/>
      <c r="J208" s="55"/>
      <c r="K208" s="58"/>
      <c r="L208" s="58"/>
    </row>
    <row r="209" ht="50.25" customHeight="1">
      <c r="A209" s="40"/>
      <c r="B209" s="44" t="str">
        <f t="shared" si="1"/>
        <v>CNT</v>
      </c>
      <c r="C209" s="46"/>
      <c r="D209" s="142"/>
      <c r="E209" s="146"/>
      <c r="F209" s="51"/>
      <c r="G209" s="52"/>
      <c r="H209" s="58"/>
      <c r="I209" s="54"/>
      <c r="J209" s="55"/>
      <c r="K209" s="58"/>
      <c r="L209" s="58"/>
    </row>
    <row r="210" ht="50.25" customHeight="1">
      <c r="A210" s="40"/>
      <c r="B210" s="44" t="str">
        <f t="shared" si="1"/>
        <v>CNT</v>
      </c>
      <c r="C210" s="46"/>
      <c r="D210" s="142"/>
      <c r="E210" s="146"/>
      <c r="F210" s="51"/>
      <c r="G210" s="52"/>
      <c r="H210" s="58"/>
      <c r="I210" s="54"/>
      <c r="J210" s="55"/>
      <c r="K210" s="58"/>
      <c r="L210" s="58"/>
    </row>
    <row r="211" ht="50.25" customHeight="1">
      <c r="A211" s="40"/>
      <c r="B211" s="44" t="str">
        <f t="shared" si="1"/>
        <v>CNT</v>
      </c>
      <c r="C211" s="46"/>
      <c r="D211" s="142"/>
      <c r="E211" s="146"/>
      <c r="F211" s="51"/>
      <c r="G211" s="52"/>
      <c r="H211" s="58"/>
      <c r="I211" s="54"/>
      <c r="J211" s="55"/>
      <c r="K211" s="58"/>
      <c r="L211" s="58"/>
    </row>
    <row r="212" ht="50.25" customHeight="1">
      <c r="A212" s="40"/>
      <c r="B212" s="44" t="str">
        <f t="shared" si="1"/>
        <v>CNT</v>
      </c>
      <c r="C212" s="46"/>
      <c r="D212" s="142"/>
      <c r="E212" s="146"/>
      <c r="F212" s="51"/>
      <c r="G212" s="52"/>
      <c r="H212" s="58"/>
      <c r="I212" s="54"/>
      <c r="J212" s="55"/>
      <c r="K212" s="58"/>
      <c r="L212" s="58"/>
    </row>
    <row r="213" ht="50.25" customHeight="1">
      <c r="A213" s="40"/>
      <c r="B213" s="44" t="str">
        <f t="shared" si="1"/>
        <v>CNT</v>
      </c>
      <c r="C213" s="46"/>
      <c r="D213" s="142"/>
      <c r="E213" s="146"/>
      <c r="F213" s="51"/>
      <c r="G213" s="52"/>
      <c r="H213" s="58"/>
      <c r="I213" s="54"/>
      <c r="J213" s="55"/>
      <c r="K213" s="58"/>
      <c r="L213" s="58"/>
    </row>
    <row r="214" ht="50.25" customHeight="1">
      <c r="A214" s="40"/>
      <c r="B214" s="44" t="str">
        <f t="shared" si="1"/>
        <v>CNT</v>
      </c>
      <c r="C214" s="46"/>
      <c r="D214" s="142"/>
      <c r="E214" s="146"/>
      <c r="F214" s="51"/>
      <c r="G214" s="52"/>
      <c r="H214" s="58"/>
      <c r="I214" s="54"/>
      <c r="J214" s="55"/>
      <c r="K214" s="58"/>
      <c r="L214" s="58"/>
    </row>
    <row r="215" ht="50.25" customHeight="1">
      <c r="A215" s="40"/>
      <c r="B215" s="44" t="str">
        <f t="shared" si="1"/>
        <v>CNT</v>
      </c>
      <c r="C215" s="46"/>
      <c r="D215" s="142"/>
      <c r="E215" s="146"/>
      <c r="F215" s="51"/>
      <c r="G215" s="52"/>
      <c r="H215" s="58"/>
      <c r="I215" s="54"/>
      <c r="J215" s="55"/>
      <c r="K215" s="58"/>
      <c r="L215" s="58"/>
    </row>
    <row r="216" ht="50.25" customHeight="1">
      <c r="A216" s="40"/>
      <c r="B216" s="44" t="str">
        <f t="shared" si="1"/>
        <v>CNT</v>
      </c>
      <c r="C216" s="46"/>
      <c r="D216" s="142"/>
      <c r="E216" s="146"/>
      <c r="F216" s="51"/>
      <c r="G216" s="52"/>
      <c r="H216" s="58"/>
      <c r="I216" s="54"/>
      <c r="J216" s="55"/>
      <c r="K216" s="58"/>
      <c r="L216" s="58"/>
    </row>
    <row r="217" ht="50.25" customHeight="1">
      <c r="A217" s="40"/>
      <c r="B217" s="44" t="str">
        <f t="shared" si="1"/>
        <v>CNT</v>
      </c>
      <c r="C217" s="46"/>
      <c r="D217" s="142"/>
      <c r="E217" s="146"/>
      <c r="F217" s="51"/>
      <c r="G217" s="52"/>
      <c r="H217" s="58"/>
      <c r="I217" s="54"/>
      <c r="J217" s="55"/>
      <c r="K217" s="58"/>
      <c r="L217" s="58"/>
    </row>
    <row r="218" ht="50.25" customHeight="1">
      <c r="A218" s="40"/>
      <c r="B218" s="44" t="str">
        <f t="shared" si="1"/>
        <v>CNT</v>
      </c>
      <c r="C218" s="46"/>
      <c r="D218" s="142"/>
      <c r="E218" s="146"/>
      <c r="F218" s="51"/>
      <c r="G218" s="52"/>
      <c r="H218" s="58"/>
      <c r="I218" s="54"/>
      <c r="J218" s="55"/>
      <c r="K218" s="58"/>
      <c r="L218" s="58"/>
    </row>
    <row r="219" ht="50.25" customHeight="1">
      <c r="A219" s="40"/>
      <c r="B219" s="44" t="str">
        <f t="shared" si="1"/>
        <v>CNT</v>
      </c>
      <c r="C219" s="46"/>
      <c r="D219" s="142"/>
      <c r="E219" s="146"/>
      <c r="F219" s="51"/>
      <c r="G219" s="52"/>
      <c r="H219" s="58"/>
      <c r="I219" s="54"/>
      <c r="J219" s="55"/>
      <c r="K219" s="58"/>
      <c r="L219" s="58"/>
    </row>
    <row r="220" ht="50.25" customHeight="1">
      <c r="A220" s="40"/>
      <c r="B220" s="44" t="str">
        <f t="shared" si="1"/>
        <v>CNT</v>
      </c>
      <c r="C220" s="46"/>
      <c r="D220" s="142"/>
      <c r="E220" s="146"/>
      <c r="F220" s="51"/>
      <c r="G220" s="52"/>
      <c r="H220" s="58"/>
      <c r="I220" s="54"/>
      <c r="J220" s="55"/>
      <c r="K220" s="58"/>
      <c r="L220" s="58"/>
    </row>
    <row r="221" ht="50.25" customHeight="1">
      <c r="A221" s="40"/>
      <c r="B221" s="44" t="str">
        <f t="shared" si="1"/>
        <v>CNT</v>
      </c>
      <c r="C221" s="46"/>
      <c r="D221" s="142"/>
      <c r="E221" s="146"/>
      <c r="F221" s="51"/>
      <c r="G221" s="52"/>
      <c r="H221" s="58"/>
      <c r="I221" s="54"/>
      <c r="J221" s="55"/>
      <c r="K221" s="58"/>
      <c r="L221" s="58"/>
    </row>
    <row r="222" ht="50.25" customHeight="1">
      <c r="A222" s="40"/>
      <c r="B222" s="44" t="str">
        <f t="shared" si="1"/>
        <v>CNT</v>
      </c>
      <c r="C222" s="46"/>
      <c r="D222" s="142"/>
      <c r="E222" s="146"/>
      <c r="F222" s="51"/>
      <c r="G222" s="52"/>
      <c r="H222" s="58"/>
      <c r="I222" s="54"/>
      <c r="J222" s="55"/>
      <c r="K222" s="58"/>
      <c r="L222" s="58"/>
    </row>
    <row r="223" ht="50.25" customHeight="1">
      <c r="A223" s="40"/>
      <c r="B223" s="44" t="str">
        <f t="shared" si="1"/>
        <v>CNT</v>
      </c>
      <c r="C223" s="46"/>
      <c r="D223" s="142"/>
      <c r="E223" s="146"/>
      <c r="F223" s="51"/>
      <c r="G223" s="52"/>
      <c r="H223" s="58"/>
      <c r="I223" s="54"/>
      <c r="J223" s="55"/>
      <c r="K223" s="58"/>
      <c r="L223" s="58"/>
    </row>
    <row r="224" ht="50.25" customHeight="1">
      <c r="A224" s="40"/>
      <c r="B224" s="44" t="str">
        <f t="shared" si="1"/>
        <v>CNT</v>
      </c>
      <c r="C224" s="46"/>
      <c r="D224" s="142"/>
      <c r="E224" s="146"/>
      <c r="F224" s="51"/>
      <c r="G224" s="52"/>
      <c r="H224" s="58"/>
      <c r="I224" s="54"/>
      <c r="J224" s="55"/>
      <c r="K224" s="58"/>
      <c r="L224" s="58"/>
    </row>
    <row r="225" ht="50.25" customHeight="1">
      <c r="A225" s="40"/>
      <c r="B225" s="44" t="str">
        <f t="shared" si="1"/>
        <v>CNT</v>
      </c>
      <c r="C225" s="46"/>
      <c r="D225" s="142"/>
      <c r="E225" s="146"/>
      <c r="F225" s="51"/>
      <c r="G225" s="52"/>
      <c r="H225" s="58"/>
      <c r="I225" s="54"/>
      <c r="J225" s="55"/>
      <c r="K225" s="58"/>
      <c r="L225" s="58"/>
    </row>
    <row r="226" ht="50.25" customHeight="1">
      <c r="A226" s="40"/>
      <c r="B226" s="44" t="str">
        <f t="shared" si="1"/>
        <v>CNT</v>
      </c>
      <c r="C226" s="46"/>
      <c r="D226" s="142"/>
      <c r="E226" s="146"/>
      <c r="F226" s="51"/>
      <c r="G226" s="52"/>
      <c r="H226" s="58"/>
      <c r="I226" s="54"/>
      <c r="J226" s="55"/>
      <c r="K226" s="58"/>
      <c r="L226" s="58"/>
    </row>
    <row r="227" ht="50.25" customHeight="1">
      <c r="A227" s="40"/>
      <c r="B227" s="44" t="str">
        <f t="shared" si="1"/>
        <v>CNT</v>
      </c>
      <c r="C227" s="46"/>
      <c r="D227" s="142"/>
      <c r="E227" s="146"/>
      <c r="F227" s="51"/>
      <c r="G227" s="52"/>
      <c r="H227" s="58"/>
      <c r="I227" s="54"/>
      <c r="J227" s="55"/>
      <c r="K227" s="58"/>
      <c r="L227" s="58"/>
    </row>
    <row r="228" ht="50.25" customHeight="1">
      <c r="A228" s="40"/>
      <c r="B228" s="44" t="str">
        <f t="shared" si="1"/>
        <v>CNT</v>
      </c>
      <c r="C228" s="46"/>
      <c r="D228" s="142"/>
      <c r="E228" s="146"/>
      <c r="F228" s="51"/>
      <c r="G228" s="52"/>
      <c r="H228" s="58"/>
      <c r="I228" s="54"/>
      <c r="J228" s="55"/>
      <c r="K228" s="58"/>
      <c r="L228" s="58"/>
    </row>
    <row r="229" ht="50.25" customHeight="1">
      <c r="A229" s="40"/>
      <c r="B229" s="44" t="str">
        <f t="shared" si="1"/>
        <v>CNT</v>
      </c>
      <c r="C229" s="46"/>
      <c r="D229" s="142"/>
      <c r="E229" s="146"/>
      <c r="F229" s="51"/>
      <c r="G229" s="52"/>
      <c r="H229" s="58"/>
      <c r="I229" s="54"/>
      <c r="J229" s="55"/>
      <c r="K229" s="58"/>
      <c r="L229" s="58"/>
    </row>
    <row r="230" ht="50.25" customHeight="1">
      <c r="A230" s="40"/>
      <c r="B230" s="44" t="str">
        <f t="shared" si="1"/>
        <v>CNT</v>
      </c>
      <c r="C230" s="46"/>
      <c r="D230" s="142"/>
      <c r="E230" s="146"/>
      <c r="F230" s="51"/>
      <c r="G230" s="52"/>
      <c r="H230" s="58"/>
      <c r="I230" s="54"/>
      <c r="J230" s="55"/>
      <c r="K230" s="58"/>
      <c r="L230" s="58"/>
    </row>
    <row r="231" ht="50.25" customHeight="1">
      <c r="A231" s="40"/>
      <c r="B231" s="44" t="str">
        <f t="shared" si="1"/>
        <v>CNT</v>
      </c>
      <c r="C231" s="46"/>
      <c r="D231" s="142"/>
      <c r="E231" s="146"/>
      <c r="F231" s="51"/>
      <c r="G231" s="52"/>
      <c r="H231" s="58"/>
      <c r="I231" s="54"/>
      <c r="J231" s="55"/>
      <c r="K231" s="58"/>
      <c r="L231" s="58"/>
    </row>
    <row r="232" ht="50.25" customHeight="1">
      <c r="A232" s="40"/>
      <c r="B232" s="44" t="str">
        <f t="shared" si="1"/>
        <v>CNT</v>
      </c>
      <c r="C232" s="46"/>
      <c r="D232" s="142"/>
      <c r="E232" s="146"/>
      <c r="F232" s="51"/>
      <c r="G232" s="52"/>
      <c r="H232" s="58"/>
      <c r="I232" s="54"/>
      <c r="J232" s="55"/>
      <c r="K232" s="58"/>
      <c r="L232" s="58"/>
    </row>
    <row r="233" ht="50.25" customHeight="1">
      <c r="A233" s="40"/>
      <c r="B233" s="44" t="str">
        <f t="shared" si="1"/>
        <v>CNT</v>
      </c>
      <c r="C233" s="46"/>
      <c r="D233" s="142"/>
      <c r="E233" s="146"/>
      <c r="F233" s="51"/>
      <c r="G233" s="52"/>
      <c r="H233" s="58"/>
      <c r="I233" s="54"/>
      <c r="J233" s="55"/>
      <c r="K233" s="58"/>
      <c r="L233" s="58"/>
    </row>
    <row r="234" ht="50.25" customHeight="1">
      <c r="A234" s="40"/>
      <c r="B234" s="44" t="str">
        <f t="shared" si="1"/>
        <v>CNT</v>
      </c>
      <c r="C234" s="46"/>
      <c r="D234" s="142"/>
      <c r="E234" s="146"/>
      <c r="F234" s="51"/>
      <c r="G234" s="52"/>
      <c r="H234" s="58"/>
      <c r="I234" s="54"/>
      <c r="J234" s="55"/>
      <c r="K234" s="58"/>
      <c r="L234" s="58"/>
    </row>
    <row r="235" ht="50.25" customHeight="1">
      <c r="A235" s="40"/>
      <c r="B235" s="44" t="str">
        <f t="shared" si="1"/>
        <v>CNT</v>
      </c>
      <c r="C235" s="46"/>
      <c r="D235" s="142"/>
      <c r="E235" s="146"/>
      <c r="F235" s="51"/>
      <c r="G235" s="52"/>
      <c r="H235" s="58"/>
      <c r="I235" s="54"/>
      <c r="J235" s="55"/>
      <c r="K235" s="58"/>
      <c r="L235" s="58"/>
    </row>
    <row r="236" ht="50.25" customHeight="1">
      <c r="A236" s="40"/>
      <c r="B236" s="44" t="str">
        <f t="shared" si="1"/>
        <v>CNT</v>
      </c>
      <c r="C236" s="46"/>
      <c r="D236" s="142"/>
      <c r="E236" s="146"/>
      <c r="F236" s="51"/>
      <c r="G236" s="52"/>
      <c r="H236" s="58"/>
      <c r="I236" s="54"/>
      <c r="J236" s="55"/>
      <c r="K236" s="58"/>
      <c r="L236" s="58"/>
    </row>
    <row r="237" ht="50.25" customHeight="1">
      <c r="A237" s="40"/>
      <c r="B237" s="44" t="str">
        <f t="shared" si="1"/>
        <v>CNT</v>
      </c>
      <c r="C237" s="46"/>
      <c r="D237" s="142"/>
      <c r="E237" s="146"/>
      <c r="F237" s="51"/>
      <c r="G237" s="52"/>
      <c r="H237" s="58"/>
      <c r="I237" s="54"/>
      <c r="J237" s="55"/>
      <c r="K237" s="58"/>
      <c r="L237" s="58"/>
    </row>
    <row r="238" ht="50.25" customHeight="1">
      <c r="A238" s="40"/>
      <c r="B238" s="44" t="str">
        <f t="shared" si="1"/>
        <v>CNT</v>
      </c>
      <c r="C238" s="46"/>
      <c r="D238" s="142"/>
      <c r="E238" s="146"/>
      <c r="F238" s="51"/>
      <c r="G238" s="52"/>
      <c r="H238" s="58"/>
      <c r="I238" s="54"/>
      <c r="J238" s="55"/>
      <c r="K238" s="58"/>
      <c r="L238" s="58"/>
    </row>
    <row r="239" ht="50.25" customHeight="1">
      <c r="A239" s="40"/>
      <c r="B239" s="44" t="str">
        <f t="shared" si="1"/>
        <v>CNT</v>
      </c>
      <c r="C239" s="46"/>
      <c r="D239" s="142"/>
      <c r="E239" s="146"/>
      <c r="F239" s="51"/>
      <c r="G239" s="52"/>
      <c r="H239" s="58"/>
      <c r="I239" s="54"/>
      <c r="J239" s="55"/>
      <c r="K239" s="58"/>
      <c r="L239" s="58"/>
    </row>
    <row r="240" ht="50.25" customHeight="1">
      <c r="A240" s="40"/>
      <c r="B240" s="44" t="str">
        <f t="shared" si="1"/>
        <v>CNT</v>
      </c>
      <c r="C240" s="46"/>
      <c r="D240" s="142"/>
      <c r="E240" s="146"/>
      <c r="F240" s="51"/>
      <c r="G240" s="52"/>
      <c r="H240" s="58"/>
      <c r="I240" s="54"/>
      <c r="J240" s="55"/>
      <c r="K240" s="58"/>
      <c r="L240" s="58"/>
    </row>
    <row r="241" ht="50.25" customHeight="1">
      <c r="A241" s="40"/>
      <c r="B241" s="44" t="str">
        <f t="shared" si="1"/>
        <v>CNT</v>
      </c>
      <c r="C241" s="46"/>
      <c r="D241" s="142"/>
      <c r="E241" s="146"/>
      <c r="F241" s="51"/>
      <c r="G241" s="52"/>
      <c r="H241" s="58"/>
      <c r="I241" s="54"/>
      <c r="J241" s="55"/>
      <c r="K241" s="58"/>
      <c r="L241" s="58"/>
    </row>
    <row r="242" ht="50.25" customHeight="1">
      <c r="A242" s="40"/>
      <c r="B242" s="44" t="str">
        <f t="shared" si="1"/>
        <v>CNT</v>
      </c>
      <c r="C242" s="46"/>
      <c r="D242" s="142"/>
      <c r="E242" s="146"/>
      <c r="F242" s="51"/>
      <c r="G242" s="52"/>
      <c r="H242" s="58"/>
      <c r="I242" s="54"/>
      <c r="J242" s="55"/>
      <c r="K242" s="58"/>
      <c r="L242" s="58"/>
    </row>
    <row r="243" ht="50.25" customHeight="1">
      <c r="A243" s="40"/>
      <c r="B243" s="44" t="str">
        <f t="shared" si="1"/>
        <v>CNT</v>
      </c>
      <c r="C243" s="46"/>
      <c r="D243" s="142"/>
      <c r="E243" s="146"/>
      <c r="F243" s="51"/>
      <c r="G243" s="52"/>
      <c r="H243" s="58"/>
      <c r="I243" s="54"/>
      <c r="J243" s="55"/>
      <c r="K243" s="58"/>
      <c r="L243" s="58"/>
    </row>
    <row r="244" ht="50.25" customHeight="1">
      <c r="A244" s="40"/>
      <c r="B244" s="44" t="str">
        <f t="shared" si="1"/>
        <v>CNT</v>
      </c>
      <c r="C244" s="46"/>
      <c r="D244" s="142"/>
      <c r="E244" s="146"/>
      <c r="F244" s="51"/>
      <c r="G244" s="52"/>
      <c r="H244" s="58"/>
      <c r="I244" s="54"/>
      <c r="J244" s="55"/>
      <c r="K244" s="58"/>
      <c r="L244" s="58"/>
    </row>
    <row r="245" ht="50.25" customHeight="1">
      <c r="A245" s="40"/>
      <c r="B245" s="44" t="str">
        <f t="shared" si="1"/>
        <v>CNT</v>
      </c>
      <c r="C245" s="46"/>
      <c r="D245" s="142"/>
      <c r="E245" s="146"/>
      <c r="F245" s="51"/>
      <c r="G245" s="52"/>
      <c r="H245" s="58"/>
      <c r="I245" s="54"/>
      <c r="J245" s="55"/>
      <c r="K245" s="58"/>
      <c r="L245" s="58"/>
    </row>
    <row r="246" ht="50.25" customHeight="1">
      <c r="A246" s="40"/>
      <c r="B246" s="44" t="str">
        <f t="shared" si="1"/>
        <v>CNT</v>
      </c>
      <c r="C246" s="46"/>
      <c r="D246" s="142"/>
      <c r="E246" s="146"/>
      <c r="F246" s="51"/>
      <c r="G246" s="52"/>
      <c r="H246" s="58"/>
      <c r="I246" s="54"/>
      <c r="J246" s="55"/>
      <c r="K246" s="58"/>
      <c r="L246" s="58"/>
    </row>
    <row r="247" ht="50.25" customHeight="1">
      <c r="A247" s="40"/>
      <c r="B247" s="44" t="str">
        <f t="shared" si="1"/>
        <v>CNT</v>
      </c>
      <c r="C247" s="46"/>
      <c r="D247" s="142"/>
      <c r="E247" s="146"/>
      <c r="F247" s="51"/>
      <c r="G247" s="52"/>
      <c r="H247" s="58"/>
      <c r="I247" s="54"/>
      <c r="J247" s="55"/>
      <c r="K247" s="58"/>
      <c r="L247" s="58"/>
    </row>
    <row r="248" ht="50.25" customHeight="1">
      <c r="A248" s="40"/>
      <c r="B248" s="44" t="str">
        <f t="shared" si="1"/>
        <v>CNT</v>
      </c>
      <c r="C248" s="46"/>
      <c r="D248" s="142"/>
      <c r="E248" s="146"/>
      <c r="F248" s="51"/>
      <c r="G248" s="52"/>
      <c r="H248" s="58"/>
      <c r="I248" s="54"/>
      <c r="J248" s="55"/>
      <c r="K248" s="58"/>
      <c r="L248" s="58"/>
    </row>
    <row r="249" ht="50.25" customHeight="1">
      <c r="A249" s="40"/>
      <c r="B249" s="44" t="str">
        <f t="shared" si="1"/>
        <v>CNT</v>
      </c>
      <c r="C249" s="46"/>
      <c r="D249" s="142"/>
      <c r="E249" s="146"/>
      <c r="F249" s="51"/>
      <c r="G249" s="52"/>
      <c r="H249" s="58"/>
      <c r="I249" s="54"/>
      <c r="J249" s="55"/>
      <c r="K249" s="58"/>
      <c r="L249" s="58"/>
    </row>
    <row r="250" ht="50.25" customHeight="1">
      <c r="A250" s="40"/>
      <c r="B250" s="44" t="str">
        <f t="shared" si="1"/>
        <v>CNT</v>
      </c>
      <c r="C250" s="46"/>
      <c r="D250" s="142"/>
      <c r="E250" s="146"/>
      <c r="F250" s="51"/>
      <c r="G250" s="52"/>
      <c r="H250" s="58"/>
      <c r="I250" s="54"/>
      <c r="J250" s="55"/>
      <c r="K250" s="58"/>
      <c r="L250" s="58"/>
    </row>
    <row r="251" ht="50.25" customHeight="1">
      <c r="A251" s="40"/>
      <c r="B251" s="44" t="str">
        <f t="shared" si="1"/>
        <v>CNT</v>
      </c>
      <c r="C251" s="46"/>
      <c r="D251" s="142"/>
      <c r="E251" s="146"/>
      <c r="F251" s="51"/>
      <c r="G251" s="52"/>
      <c r="H251" s="58"/>
      <c r="I251" s="54"/>
      <c r="J251" s="55"/>
      <c r="K251" s="58"/>
      <c r="L251" s="58"/>
    </row>
    <row r="252" ht="50.25" customHeight="1">
      <c r="A252" s="40"/>
      <c r="B252" s="44" t="str">
        <f t="shared" si="1"/>
        <v>CNT</v>
      </c>
      <c r="C252" s="46"/>
      <c r="D252" s="142"/>
      <c r="E252" s="146"/>
      <c r="F252" s="51"/>
      <c r="G252" s="52"/>
      <c r="H252" s="58"/>
      <c r="I252" s="54"/>
      <c r="J252" s="55"/>
      <c r="K252" s="58"/>
      <c r="L252" s="58"/>
    </row>
    <row r="253" ht="50.25" customHeight="1">
      <c r="A253" s="40"/>
      <c r="B253" s="44" t="str">
        <f t="shared" si="1"/>
        <v>CNT</v>
      </c>
      <c r="C253" s="46"/>
      <c r="D253" s="142"/>
      <c r="E253" s="146"/>
      <c r="F253" s="51"/>
      <c r="G253" s="52"/>
      <c r="H253" s="58"/>
      <c r="I253" s="54"/>
      <c r="J253" s="55"/>
      <c r="K253" s="58"/>
      <c r="L253" s="58"/>
    </row>
    <row r="254" ht="50.25" customHeight="1">
      <c r="A254" s="40"/>
      <c r="B254" s="44" t="str">
        <f t="shared" si="1"/>
        <v>CNT</v>
      </c>
      <c r="C254" s="46"/>
      <c r="D254" s="142"/>
      <c r="E254" s="146"/>
      <c r="F254" s="51"/>
      <c r="G254" s="52"/>
      <c r="H254" s="58"/>
      <c r="I254" s="54"/>
      <c r="J254" s="55"/>
      <c r="K254" s="58"/>
      <c r="L254" s="58"/>
    </row>
    <row r="255" ht="50.25" customHeight="1">
      <c r="A255" s="40"/>
      <c r="B255" s="44" t="str">
        <f t="shared" si="1"/>
        <v>CNT</v>
      </c>
      <c r="C255" s="46"/>
      <c r="D255" s="142"/>
      <c r="E255" s="146"/>
      <c r="F255" s="51"/>
      <c r="G255" s="52"/>
      <c r="H255" s="58"/>
      <c r="I255" s="54"/>
      <c r="J255" s="55"/>
      <c r="K255" s="58"/>
      <c r="L255" s="58"/>
    </row>
    <row r="256" ht="50.25" customHeight="1">
      <c r="A256" s="40"/>
      <c r="B256" s="44" t="str">
        <f t="shared" si="1"/>
        <v>CNT</v>
      </c>
      <c r="C256" s="46"/>
      <c r="D256" s="142"/>
      <c r="E256" s="146"/>
      <c r="F256" s="51"/>
      <c r="G256" s="52"/>
      <c r="H256" s="58"/>
      <c r="I256" s="54"/>
      <c r="J256" s="55"/>
      <c r="K256" s="58"/>
      <c r="L256" s="58"/>
    </row>
    <row r="257" ht="50.25" customHeight="1">
      <c r="A257" s="40"/>
      <c r="B257" s="44" t="str">
        <f t="shared" si="1"/>
        <v>CNT</v>
      </c>
      <c r="C257" s="46"/>
      <c r="D257" s="142"/>
      <c r="E257" s="146"/>
      <c r="F257" s="51"/>
      <c r="G257" s="52"/>
      <c r="H257" s="58"/>
      <c r="I257" s="54"/>
      <c r="J257" s="55"/>
      <c r="K257" s="58"/>
      <c r="L257" s="58"/>
    </row>
    <row r="258" ht="50.25" customHeight="1">
      <c r="A258" s="40"/>
      <c r="B258" s="44" t="str">
        <f t="shared" si="1"/>
        <v>CNT</v>
      </c>
      <c r="C258" s="46"/>
      <c r="D258" s="142"/>
      <c r="E258" s="146"/>
      <c r="F258" s="51"/>
      <c r="G258" s="52"/>
      <c r="H258" s="58"/>
      <c r="I258" s="54"/>
      <c r="J258" s="55"/>
      <c r="K258" s="58"/>
      <c r="L258" s="58"/>
    </row>
    <row r="259" ht="50.25" customHeight="1">
      <c r="A259" s="40"/>
      <c r="B259" s="44" t="str">
        <f t="shared" si="1"/>
        <v>CNT</v>
      </c>
      <c r="C259" s="46"/>
      <c r="D259" s="142"/>
      <c r="E259" s="146"/>
      <c r="F259" s="51"/>
      <c r="G259" s="52"/>
      <c r="H259" s="58"/>
      <c r="I259" s="54"/>
      <c r="J259" s="55"/>
      <c r="K259" s="58"/>
      <c r="L259" s="58"/>
    </row>
    <row r="260" ht="50.25" customHeight="1">
      <c r="A260" s="40"/>
      <c r="B260" s="44" t="str">
        <f t="shared" si="1"/>
        <v>CNT</v>
      </c>
      <c r="C260" s="46"/>
      <c r="D260" s="142"/>
      <c r="E260" s="146"/>
      <c r="F260" s="51"/>
      <c r="G260" s="52"/>
      <c r="H260" s="58"/>
      <c r="I260" s="54"/>
      <c r="J260" s="55"/>
      <c r="K260" s="58"/>
      <c r="L260" s="58"/>
    </row>
    <row r="261" ht="50.25" customHeight="1">
      <c r="A261" s="40"/>
      <c r="B261" s="44" t="str">
        <f t="shared" si="1"/>
        <v>CNT</v>
      </c>
      <c r="C261" s="46"/>
      <c r="D261" s="142"/>
      <c r="E261" s="146"/>
      <c r="F261" s="51"/>
      <c r="G261" s="52"/>
      <c r="H261" s="58"/>
      <c r="I261" s="54"/>
      <c r="J261" s="55"/>
      <c r="K261" s="58"/>
      <c r="L261" s="58"/>
    </row>
    <row r="262" ht="50.25" customHeight="1">
      <c r="A262" s="40"/>
      <c r="B262" s="44" t="str">
        <f t="shared" si="1"/>
        <v>CNT</v>
      </c>
      <c r="C262" s="46"/>
      <c r="D262" s="142"/>
      <c r="E262" s="146"/>
      <c r="F262" s="51"/>
      <c r="G262" s="52"/>
      <c r="H262" s="58"/>
      <c r="I262" s="54"/>
      <c r="J262" s="55"/>
      <c r="K262" s="58"/>
      <c r="L262" s="58"/>
    </row>
    <row r="263" ht="50.25" customHeight="1">
      <c r="A263" s="40"/>
      <c r="B263" s="44" t="str">
        <f t="shared" si="1"/>
        <v>CNT</v>
      </c>
      <c r="C263" s="46"/>
      <c r="D263" s="142"/>
      <c r="E263" s="146"/>
      <c r="F263" s="51"/>
      <c r="G263" s="52"/>
      <c r="H263" s="58"/>
      <c r="I263" s="54"/>
      <c r="J263" s="55"/>
      <c r="K263" s="58"/>
      <c r="L263" s="58"/>
    </row>
    <row r="264" ht="50.25" customHeight="1">
      <c r="A264" s="40"/>
      <c r="B264" s="44" t="str">
        <f t="shared" si="1"/>
        <v>CNT</v>
      </c>
      <c r="C264" s="46"/>
      <c r="D264" s="142"/>
      <c r="E264" s="146"/>
      <c r="F264" s="51"/>
      <c r="G264" s="52"/>
      <c r="H264" s="58"/>
      <c r="I264" s="54"/>
      <c r="J264" s="55"/>
      <c r="K264" s="58"/>
      <c r="L264" s="58"/>
    </row>
    <row r="265" ht="50.25" customHeight="1">
      <c r="A265" s="40"/>
      <c r="B265" s="44" t="str">
        <f t="shared" si="1"/>
        <v>CNT</v>
      </c>
      <c r="C265" s="46"/>
      <c r="D265" s="142"/>
      <c r="E265" s="146"/>
      <c r="F265" s="51"/>
      <c r="G265" s="52"/>
      <c r="H265" s="58"/>
      <c r="I265" s="54"/>
      <c r="J265" s="55"/>
      <c r="K265" s="58"/>
      <c r="L265" s="58"/>
    </row>
    <row r="266" ht="50.25" customHeight="1">
      <c r="A266" s="40"/>
      <c r="B266" s="44" t="str">
        <f t="shared" si="1"/>
        <v>CNT</v>
      </c>
      <c r="C266" s="46"/>
      <c r="D266" s="142"/>
      <c r="E266" s="146"/>
      <c r="F266" s="51"/>
      <c r="G266" s="52"/>
      <c r="H266" s="58"/>
      <c r="I266" s="54"/>
      <c r="J266" s="55"/>
      <c r="K266" s="58"/>
      <c r="L266" s="58"/>
    </row>
    <row r="267" ht="50.25" customHeight="1">
      <c r="A267" s="40"/>
      <c r="B267" s="44" t="str">
        <f t="shared" si="1"/>
        <v>CNT</v>
      </c>
      <c r="C267" s="46"/>
      <c r="D267" s="142"/>
      <c r="E267" s="146"/>
      <c r="F267" s="51"/>
      <c r="G267" s="52"/>
      <c r="H267" s="58"/>
      <c r="I267" s="54"/>
      <c r="J267" s="55"/>
      <c r="K267" s="58"/>
      <c r="L267" s="58"/>
    </row>
    <row r="268" ht="50.25" customHeight="1">
      <c r="A268" s="40"/>
      <c r="B268" s="44" t="str">
        <f t="shared" si="1"/>
        <v>CNT</v>
      </c>
      <c r="C268" s="46"/>
      <c r="D268" s="142"/>
      <c r="E268" s="146"/>
      <c r="F268" s="51"/>
      <c r="G268" s="52"/>
      <c r="H268" s="58"/>
      <c r="I268" s="54"/>
      <c r="J268" s="55"/>
      <c r="K268" s="58"/>
      <c r="L268" s="58"/>
    </row>
    <row r="269" ht="50.25" customHeight="1">
      <c r="A269" s="40"/>
      <c r="B269" s="44" t="str">
        <f t="shared" si="1"/>
        <v>CNT</v>
      </c>
      <c r="C269" s="46"/>
      <c r="D269" s="142"/>
      <c r="E269" s="146"/>
      <c r="F269" s="51"/>
      <c r="G269" s="52"/>
      <c r="H269" s="58"/>
      <c r="I269" s="54"/>
      <c r="J269" s="55"/>
      <c r="K269" s="58"/>
      <c r="L269" s="58"/>
    </row>
    <row r="270" ht="50.25" customHeight="1">
      <c r="A270" s="40"/>
      <c r="B270" s="44" t="str">
        <f t="shared" si="1"/>
        <v>CNT</v>
      </c>
      <c r="C270" s="46"/>
      <c r="D270" s="142"/>
      <c r="E270" s="146"/>
      <c r="F270" s="51"/>
      <c r="G270" s="52"/>
      <c r="H270" s="58"/>
      <c r="I270" s="54"/>
      <c r="J270" s="55"/>
      <c r="K270" s="58"/>
      <c r="L270" s="58"/>
    </row>
    <row r="271" ht="50.25" customHeight="1">
      <c r="A271" s="40"/>
      <c r="B271" s="44" t="str">
        <f t="shared" si="1"/>
        <v>CNT</v>
      </c>
      <c r="C271" s="46"/>
      <c r="D271" s="142"/>
      <c r="E271" s="146"/>
      <c r="F271" s="51"/>
      <c r="G271" s="52"/>
      <c r="H271" s="58"/>
      <c r="I271" s="54"/>
      <c r="J271" s="55"/>
      <c r="K271" s="58"/>
      <c r="L271" s="58"/>
    </row>
    <row r="272" ht="50.25" customHeight="1">
      <c r="A272" s="40"/>
      <c r="B272" s="44" t="str">
        <f t="shared" si="1"/>
        <v>CNT</v>
      </c>
      <c r="C272" s="46"/>
      <c r="D272" s="142"/>
      <c r="E272" s="146"/>
      <c r="F272" s="51"/>
      <c r="G272" s="52"/>
      <c r="H272" s="58"/>
      <c r="I272" s="54"/>
      <c r="J272" s="55"/>
      <c r="K272" s="58"/>
      <c r="L272" s="58"/>
    </row>
    <row r="273" ht="50.25" customHeight="1">
      <c r="A273" s="40"/>
      <c r="B273" s="44" t="str">
        <f t="shared" si="1"/>
        <v>CNT</v>
      </c>
      <c r="C273" s="46"/>
      <c r="D273" s="142"/>
      <c r="E273" s="146"/>
      <c r="F273" s="51"/>
      <c r="G273" s="52"/>
      <c r="H273" s="58"/>
      <c r="I273" s="54"/>
      <c r="J273" s="55"/>
      <c r="K273" s="58"/>
      <c r="L273" s="58"/>
    </row>
    <row r="274" ht="50.25" customHeight="1">
      <c r="A274" s="40"/>
      <c r="B274" s="44" t="str">
        <f t="shared" si="1"/>
        <v>CNT</v>
      </c>
      <c r="C274" s="46"/>
      <c r="D274" s="142"/>
      <c r="E274" s="146"/>
      <c r="F274" s="51"/>
      <c r="G274" s="52"/>
      <c r="H274" s="58"/>
      <c r="I274" s="54"/>
      <c r="J274" s="55"/>
      <c r="K274" s="58"/>
      <c r="L274" s="58"/>
    </row>
    <row r="275" ht="50.25" customHeight="1">
      <c r="A275" s="40"/>
      <c r="B275" s="44" t="str">
        <f t="shared" si="1"/>
        <v>CNT</v>
      </c>
      <c r="C275" s="46"/>
      <c r="D275" s="142"/>
      <c r="E275" s="146"/>
      <c r="F275" s="51"/>
      <c r="G275" s="52"/>
      <c r="H275" s="58"/>
      <c r="I275" s="54"/>
      <c r="J275" s="55"/>
      <c r="K275" s="58"/>
      <c r="L275" s="58"/>
    </row>
    <row r="276" ht="50.25" customHeight="1">
      <c r="A276" s="40"/>
      <c r="B276" s="44" t="str">
        <f t="shared" si="1"/>
        <v>CNT</v>
      </c>
      <c r="C276" s="46"/>
      <c r="D276" s="142"/>
      <c r="E276" s="146"/>
      <c r="F276" s="51"/>
      <c r="G276" s="52"/>
      <c r="H276" s="58"/>
      <c r="I276" s="54"/>
      <c r="J276" s="55"/>
      <c r="K276" s="58"/>
      <c r="L276" s="58"/>
    </row>
    <row r="277" ht="50.25" customHeight="1">
      <c r="A277" s="40"/>
      <c r="B277" s="44" t="str">
        <f t="shared" si="1"/>
        <v>CNT</v>
      </c>
      <c r="C277" s="46"/>
      <c r="D277" s="142"/>
      <c r="E277" s="146"/>
      <c r="F277" s="51"/>
      <c r="G277" s="52"/>
      <c r="H277" s="58"/>
      <c r="I277" s="54"/>
      <c r="J277" s="55"/>
      <c r="K277" s="58"/>
      <c r="L277" s="58"/>
    </row>
    <row r="278" ht="50.25" customHeight="1">
      <c r="A278" s="40"/>
      <c r="B278" s="44" t="str">
        <f t="shared" si="1"/>
        <v>CNT</v>
      </c>
      <c r="C278" s="46"/>
      <c r="D278" s="142"/>
      <c r="E278" s="146"/>
      <c r="F278" s="51"/>
      <c r="G278" s="52"/>
      <c r="H278" s="58"/>
      <c r="I278" s="54"/>
      <c r="J278" s="55"/>
      <c r="K278" s="58"/>
      <c r="L278" s="58"/>
    </row>
    <row r="279" ht="50.25" customHeight="1">
      <c r="A279" s="40"/>
      <c r="B279" s="44" t="str">
        <f t="shared" si="1"/>
        <v>CNT</v>
      </c>
      <c r="C279" s="46"/>
      <c r="D279" s="142"/>
      <c r="E279" s="146"/>
      <c r="F279" s="51"/>
      <c r="G279" s="52"/>
      <c r="H279" s="58"/>
      <c r="I279" s="54"/>
      <c r="J279" s="55"/>
      <c r="K279" s="58"/>
      <c r="L279" s="58"/>
    </row>
    <row r="280" ht="50.25" customHeight="1">
      <c r="A280" s="40"/>
      <c r="B280" s="44" t="str">
        <f t="shared" si="1"/>
        <v>CNT</v>
      </c>
      <c r="C280" s="46"/>
      <c r="D280" s="142"/>
      <c r="E280" s="146"/>
      <c r="F280" s="51"/>
      <c r="G280" s="52"/>
      <c r="H280" s="58"/>
      <c r="I280" s="54"/>
      <c r="J280" s="55"/>
      <c r="K280" s="58"/>
      <c r="L280" s="58"/>
    </row>
    <row r="281" ht="50.25" customHeight="1">
      <c r="A281" s="40"/>
      <c r="B281" s="44" t="str">
        <f t="shared" si="1"/>
        <v>CNT</v>
      </c>
      <c r="C281" s="46"/>
      <c r="D281" s="142"/>
      <c r="E281" s="146"/>
      <c r="F281" s="51"/>
      <c r="G281" s="52"/>
      <c r="H281" s="58"/>
      <c r="I281" s="54"/>
      <c r="J281" s="55"/>
      <c r="K281" s="58"/>
      <c r="L281" s="58"/>
    </row>
    <row r="282" ht="50.25" customHeight="1">
      <c r="A282" s="40"/>
      <c r="B282" s="44" t="str">
        <f t="shared" si="1"/>
        <v>CNT</v>
      </c>
      <c r="C282" s="46"/>
      <c r="D282" s="142"/>
      <c r="E282" s="146"/>
      <c r="F282" s="51"/>
      <c r="G282" s="52"/>
      <c r="H282" s="58"/>
      <c r="I282" s="54"/>
      <c r="J282" s="55"/>
      <c r="K282" s="58"/>
      <c r="L282" s="58"/>
    </row>
    <row r="283" ht="50.25" customHeight="1">
      <c r="A283" s="40"/>
      <c r="B283" s="44" t="str">
        <f t="shared" si="1"/>
        <v>CNT</v>
      </c>
      <c r="C283" s="46"/>
      <c r="D283" s="142"/>
      <c r="E283" s="146"/>
      <c r="F283" s="51"/>
      <c r="G283" s="52"/>
      <c r="H283" s="58"/>
      <c r="I283" s="54"/>
      <c r="J283" s="55"/>
      <c r="K283" s="58"/>
      <c r="L283" s="58"/>
    </row>
    <row r="284" ht="50.25" customHeight="1">
      <c r="A284" s="40"/>
      <c r="B284" s="44" t="str">
        <f t="shared" si="1"/>
        <v>CNT</v>
      </c>
      <c r="C284" s="46"/>
      <c r="D284" s="142"/>
      <c r="E284" s="146"/>
      <c r="F284" s="51"/>
      <c r="G284" s="52"/>
      <c r="H284" s="58"/>
      <c r="I284" s="54"/>
      <c r="J284" s="55"/>
      <c r="K284" s="58"/>
      <c r="L284" s="58"/>
    </row>
    <row r="285" ht="50.25" customHeight="1">
      <c r="A285" s="40"/>
      <c r="B285" s="44" t="str">
        <f t="shared" si="1"/>
        <v>CNT</v>
      </c>
      <c r="C285" s="46"/>
      <c r="D285" s="142"/>
      <c r="E285" s="146"/>
      <c r="F285" s="51"/>
      <c r="G285" s="52"/>
      <c r="H285" s="58"/>
      <c r="I285" s="54"/>
      <c r="J285" s="55"/>
      <c r="K285" s="58"/>
      <c r="L285" s="58"/>
    </row>
    <row r="286" ht="50.25" customHeight="1">
      <c r="A286" s="40"/>
      <c r="B286" s="44" t="str">
        <f t="shared" si="1"/>
        <v>CNT</v>
      </c>
      <c r="C286" s="46"/>
      <c r="D286" s="142"/>
      <c r="E286" s="146"/>
      <c r="F286" s="51"/>
      <c r="G286" s="52"/>
      <c r="H286" s="58"/>
      <c r="I286" s="54"/>
      <c r="J286" s="55"/>
      <c r="K286" s="58"/>
      <c r="L286" s="58"/>
    </row>
    <row r="287" ht="50.25" customHeight="1">
      <c r="A287" s="40"/>
      <c r="B287" s="44" t="str">
        <f t="shared" si="1"/>
        <v>CNT</v>
      </c>
      <c r="C287" s="46"/>
      <c r="D287" s="142"/>
      <c r="E287" s="146"/>
      <c r="F287" s="51"/>
      <c r="G287" s="52"/>
      <c r="H287" s="58"/>
      <c r="I287" s="54"/>
      <c r="J287" s="55"/>
      <c r="K287" s="58"/>
      <c r="L287" s="58"/>
    </row>
    <row r="288" ht="50.25" customHeight="1">
      <c r="A288" s="40"/>
      <c r="B288" s="44" t="str">
        <f t="shared" si="1"/>
        <v>CNT</v>
      </c>
      <c r="C288" s="46"/>
      <c r="D288" s="142"/>
      <c r="E288" s="146"/>
      <c r="F288" s="51"/>
      <c r="G288" s="52"/>
      <c r="H288" s="58"/>
      <c r="I288" s="54"/>
      <c r="J288" s="55"/>
      <c r="K288" s="58"/>
      <c r="L288" s="58"/>
    </row>
    <row r="289" ht="50.25" customHeight="1">
      <c r="A289" s="40"/>
      <c r="B289" s="44" t="str">
        <f t="shared" si="1"/>
        <v>CNT</v>
      </c>
      <c r="C289" s="46"/>
      <c r="D289" s="142"/>
      <c r="E289" s="146"/>
      <c r="F289" s="51"/>
      <c r="G289" s="52"/>
      <c r="H289" s="58"/>
      <c r="I289" s="54"/>
      <c r="J289" s="55"/>
      <c r="K289" s="58"/>
      <c r="L289" s="58"/>
    </row>
    <row r="290" ht="50.25" customHeight="1">
      <c r="A290" s="40"/>
      <c r="B290" s="44" t="str">
        <f t="shared" si="1"/>
        <v>CNT</v>
      </c>
      <c r="C290" s="46"/>
      <c r="D290" s="142"/>
      <c r="E290" s="146"/>
      <c r="F290" s="51"/>
      <c r="G290" s="52"/>
      <c r="H290" s="58"/>
      <c r="I290" s="54"/>
      <c r="J290" s="55"/>
      <c r="K290" s="58"/>
      <c r="L290" s="58"/>
    </row>
    <row r="291" ht="50.25" customHeight="1">
      <c r="A291" s="40"/>
      <c r="B291" s="44" t="str">
        <f t="shared" si="1"/>
        <v>CNT</v>
      </c>
      <c r="C291" s="46"/>
      <c r="D291" s="142"/>
      <c r="E291" s="146"/>
      <c r="F291" s="51"/>
      <c r="G291" s="52"/>
      <c r="H291" s="58"/>
      <c r="I291" s="54"/>
      <c r="J291" s="55"/>
      <c r="K291" s="58"/>
      <c r="L291" s="58"/>
    </row>
    <row r="292" ht="50.25" customHeight="1">
      <c r="A292" s="40"/>
      <c r="B292" s="44" t="str">
        <f t="shared" si="1"/>
        <v>CNT</v>
      </c>
      <c r="C292" s="46"/>
      <c r="D292" s="142"/>
      <c r="E292" s="146"/>
      <c r="F292" s="51"/>
      <c r="G292" s="52"/>
      <c r="H292" s="58"/>
      <c r="I292" s="54"/>
      <c r="J292" s="55"/>
      <c r="K292" s="58"/>
      <c r="L292" s="58"/>
    </row>
    <row r="293" ht="50.25" customHeight="1">
      <c r="A293" s="40"/>
      <c r="B293" s="44" t="str">
        <f t="shared" si="1"/>
        <v>CNT</v>
      </c>
      <c r="C293" s="46"/>
      <c r="D293" s="142"/>
      <c r="E293" s="146"/>
      <c r="F293" s="51"/>
      <c r="G293" s="52"/>
      <c r="H293" s="58"/>
      <c r="I293" s="54"/>
      <c r="J293" s="55"/>
      <c r="K293" s="58"/>
      <c r="L293" s="58"/>
    </row>
    <row r="294" ht="50.25" customHeight="1">
      <c r="A294" s="40"/>
      <c r="B294" s="44" t="str">
        <f t="shared" si="1"/>
        <v>CNT</v>
      </c>
      <c r="C294" s="46"/>
      <c r="D294" s="142"/>
      <c r="E294" s="146"/>
      <c r="F294" s="51"/>
      <c r="G294" s="52"/>
      <c r="H294" s="58"/>
      <c r="I294" s="54"/>
      <c r="J294" s="55"/>
      <c r="K294" s="58"/>
      <c r="L294" s="58"/>
    </row>
    <row r="295" ht="50.25" customHeight="1">
      <c r="A295" s="40"/>
      <c r="B295" s="44" t="str">
        <f t="shared" si="1"/>
        <v>CNT</v>
      </c>
      <c r="C295" s="46"/>
      <c r="D295" s="142"/>
      <c r="E295" s="146"/>
      <c r="F295" s="51"/>
      <c r="G295" s="52"/>
      <c r="H295" s="58"/>
      <c r="I295" s="54"/>
      <c r="J295" s="55"/>
      <c r="K295" s="58"/>
      <c r="L295" s="58"/>
    </row>
    <row r="296" ht="50.25" customHeight="1">
      <c r="A296" s="40"/>
      <c r="B296" s="44" t="str">
        <f t="shared" si="1"/>
        <v>CNT</v>
      </c>
      <c r="C296" s="46"/>
      <c r="D296" s="142"/>
      <c r="E296" s="146"/>
      <c r="F296" s="51"/>
      <c r="G296" s="52"/>
      <c r="H296" s="58"/>
      <c r="I296" s="54"/>
      <c r="J296" s="55"/>
      <c r="K296" s="58"/>
      <c r="L296" s="58"/>
    </row>
    <row r="297" ht="50.25" customHeight="1">
      <c r="A297" s="40"/>
      <c r="B297" s="44" t="str">
        <f t="shared" si="1"/>
        <v>CNT</v>
      </c>
      <c r="C297" s="46"/>
      <c r="D297" s="142"/>
      <c r="E297" s="146"/>
      <c r="F297" s="51"/>
      <c r="G297" s="52"/>
      <c r="H297" s="58"/>
      <c r="I297" s="54"/>
      <c r="J297" s="55"/>
      <c r="K297" s="58"/>
      <c r="L297" s="58"/>
    </row>
    <row r="298" ht="50.25" customHeight="1">
      <c r="A298" s="40"/>
      <c r="B298" s="44" t="str">
        <f t="shared" si="1"/>
        <v>CNT</v>
      </c>
      <c r="C298" s="46"/>
      <c r="D298" s="142"/>
      <c r="E298" s="146"/>
      <c r="F298" s="51"/>
      <c r="G298" s="52"/>
      <c r="H298" s="58"/>
      <c r="I298" s="54"/>
      <c r="J298" s="55"/>
      <c r="K298" s="58"/>
      <c r="L298" s="58"/>
    </row>
    <row r="299" ht="50.25" customHeight="1">
      <c r="A299" s="40"/>
      <c r="B299" s="44" t="str">
        <f t="shared" si="1"/>
        <v>CNT</v>
      </c>
      <c r="C299" s="46"/>
      <c r="D299" s="142"/>
      <c r="E299" s="146"/>
      <c r="F299" s="51"/>
      <c r="G299" s="52"/>
      <c r="H299" s="58"/>
      <c r="I299" s="54"/>
      <c r="J299" s="55"/>
      <c r="K299" s="58"/>
      <c r="L299" s="58"/>
    </row>
    <row r="300" ht="50.25" customHeight="1">
      <c r="A300" s="40"/>
      <c r="B300" s="44" t="str">
        <f t="shared" si="1"/>
        <v>CNT</v>
      </c>
      <c r="C300" s="46"/>
      <c r="D300" s="142"/>
      <c r="E300" s="146"/>
      <c r="F300" s="51"/>
      <c r="G300" s="52"/>
      <c r="H300" s="58"/>
      <c r="I300" s="54"/>
      <c r="J300" s="55"/>
      <c r="K300" s="58"/>
      <c r="L300" s="58"/>
    </row>
    <row r="301" ht="50.25" customHeight="1">
      <c r="A301" s="40"/>
      <c r="B301" s="44" t="str">
        <f t="shared" si="1"/>
        <v>CNT</v>
      </c>
      <c r="C301" s="46"/>
      <c r="D301" s="142"/>
      <c r="E301" s="146"/>
      <c r="F301" s="51"/>
      <c r="G301" s="52"/>
      <c r="H301" s="58"/>
      <c r="I301" s="54"/>
      <c r="J301" s="55"/>
      <c r="K301" s="58"/>
      <c r="L301" s="58"/>
    </row>
    <row r="302" ht="50.25" customHeight="1">
      <c r="A302" s="40"/>
      <c r="B302" s="44" t="str">
        <f t="shared" si="1"/>
        <v>CNT</v>
      </c>
      <c r="C302" s="46"/>
      <c r="D302" s="142"/>
      <c r="E302" s="146"/>
      <c r="F302" s="51"/>
      <c r="G302" s="52"/>
      <c r="H302" s="58"/>
      <c r="I302" s="54"/>
      <c r="J302" s="55"/>
      <c r="K302" s="58"/>
      <c r="L302" s="58"/>
    </row>
    <row r="303" ht="50.25" customHeight="1">
      <c r="A303" s="40"/>
      <c r="B303" s="44" t="str">
        <f t="shared" si="1"/>
        <v>CNT</v>
      </c>
      <c r="C303" s="46"/>
      <c r="D303" s="142"/>
      <c r="E303" s="146"/>
      <c r="F303" s="51"/>
      <c r="G303" s="52"/>
      <c r="H303" s="58"/>
      <c r="I303" s="54"/>
      <c r="J303" s="55"/>
      <c r="K303" s="58"/>
      <c r="L303" s="58"/>
    </row>
    <row r="304" ht="50.25" customHeight="1">
      <c r="A304" s="40"/>
      <c r="B304" s="44" t="str">
        <f t="shared" si="1"/>
        <v>CNT</v>
      </c>
      <c r="C304" s="46"/>
      <c r="D304" s="142"/>
      <c r="E304" s="146"/>
      <c r="F304" s="51"/>
      <c r="G304" s="52"/>
      <c r="H304" s="58"/>
      <c r="I304" s="54"/>
      <c r="J304" s="55"/>
      <c r="K304" s="58"/>
      <c r="L304" s="58"/>
    </row>
    <row r="305" ht="50.25" customHeight="1">
      <c r="A305" s="40"/>
      <c r="B305" s="44" t="str">
        <f t="shared" si="1"/>
        <v>CNT</v>
      </c>
      <c r="C305" s="46"/>
      <c r="D305" s="142"/>
      <c r="E305" s="146"/>
      <c r="F305" s="51"/>
      <c r="G305" s="52"/>
      <c r="H305" s="58"/>
      <c r="I305" s="54"/>
      <c r="J305" s="55"/>
      <c r="K305" s="58"/>
      <c r="L305" s="58"/>
    </row>
    <row r="306" ht="50.25" customHeight="1">
      <c r="A306" s="40"/>
      <c r="B306" s="44" t="str">
        <f t="shared" si="1"/>
        <v>CNT</v>
      </c>
      <c r="C306" s="46"/>
      <c r="D306" s="142"/>
      <c r="E306" s="146"/>
      <c r="F306" s="51"/>
      <c r="G306" s="52"/>
      <c r="H306" s="58"/>
      <c r="I306" s="54"/>
      <c r="J306" s="55"/>
      <c r="K306" s="58"/>
      <c r="L306" s="58"/>
    </row>
    <row r="307" ht="50.25" customHeight="1">
      <c r="A307" s="40"/>
      <c r="B307" s="44" t="str">
        <f t="shared" si="1"/>
        <v>CNT</v>
      </c>
      <c r="C307" s="46"/>
      <c r="D307" s="142"/>
      <c r="E307" s="146"/>
      <c r="F307" s="51"/>
      <c r="G307" s="52"/>
      <c r="H307" s="58"/>
      <c r="I307" s="54"/>
      <c r="J307" s="55"/>
      <c r="K307" s="58"/>
      <c r="L307" s="58"/>
    </row>
    <row r="308" ht="50.25" customHeight="1">
      <c r="A308" s="40"/>
      <c r="B308" s="44" t="str">
        <f t="shared" si="1"/>
        <v>CNT</v>
      </c>
      <c r="C308" s="46"/>
      <c r="D308" s="142"/>
      <c r="E308" s="146"/>
      <c r="F308" s="51"/>
      <c r="G308" s="52"/>
      <c r="H308" s="58"/>
      <c r="I308" s="54"/>
      <c r="J308" s="55"/>
      <c r="K308" s="58"/>
      <c r="L308" s="58"/>
    </row>
    <row r="309" ht="50.25" customHeight="1">
      <c r="A309" s="40"/>
      <c r="B309" s="44" t="str">
        <f t="shared" si="1"/>
        <v>CNT</v>
      </c>
      <c r="C309" s="46"/>
      <c r="D309" s="142"/>
      <c r="E309" s="146"/>
      <c r="F309" s="51"/>
      <c r="G309" s="52"/>
      <c r="H309" s="58"/>
      <c r="I309" s="54"/>
      <c r="J309" s="55"/>
      <c r="K309" s="58"/>
      <c r="L309" s="58"/>
    </row>
    <row r="310" ht="50.25" customHeight="1">
      <c r="A310" s="40"/>
      <c r="B310" s="44" t="str">
        <f t="shared" si="1"/>
        <v>CNT</v>
      </c>
      <c r="C310" s="46"/>
      <c r="D310" s="142"/>
      <c r="E310" s="146"/>
      <c r="F310" s="51"/>
      <c r="G310" s="52"/>
      <c r="H310" s="58"/>
      <c r="I310" s="54"/>
      <c r="J310" s="55"/>
      <c r="K310" s="58"/>
      <c r="L310" s="58"/>
    </row>
    <row r="311" ht="50.25" customHeight="1">
      <c r="A311" s="40"/>
      <c r="B311" s="44" t="str">
        <f t="shared" si="1"/>
        <v>CNT</v>
      </c>
      <c r="C311" s="46"/>
      <c r="D311" s="142"/>
      <c r="E311" s="146"/>
      <c r="F311" s="51"/>
      <c r="G311" s="52"/>
      <c r="H311" s="58"/>
      <c r="I311" s="54"/>
      <c r="J311" s="55"/>
      <c r="K311" s="58"/>
      <c r="L311" s="58"/>
    </row>
    <row r="312" ht="50.25" customHeight="1">
      <c r="A312" s="40"/>
      <c r="B312" s="44" t="str">
        <f t="shared" si="1"/>
        <v>CNT</v>
      </c>
      <c r="C312" s="46"/>
      <c r="D312" s="142"/>
      <c r="E312" s="146"/>
      <c r="F312" s="51"/>
      <c r="G312" s="52"/>
      <c r="H312" s="58"/>
      <c r="I312" s="54"/>
      <c r="J312" s="55"/>
      <c r="K312" s="58"/>
      <c r="L312" s="58"/>
    </row>
    <row r="313" ht="50.25" customHeight="1">
      <c r="A313" s="40"/>
      <c r="B313" s="44" t="str">
        <f t="shared" si="1"/>
        <v>CNT</v>
      </c>
      <c r="C313" s="46"/>
      <c r="D313" s="142"/>
      <c r="E313" s="146"/>
      <c r="F313" s="51"/>
      <c r="G313" s="52"/>
      <c r="H313" s="58"/>
      <c r="I313" s="54"/>
      <c r="J313" s="55"/>
      <c r="K313" s="58"/>
      <c r="L313" s="58"/>
    </row>
    <row r="314" ht="50.25" customHeight="1">
      <c r="A314" s="40"/>
      <c r="B314" s="44" t="str">
        <f t="shared" si="1"/>
        <v>CNT</v>
      </c>
      <c r="C314" s="46"/>
      <c r="D314" s="142"/>
      <c r="E314" s="146"/>
      <c r="F314" s="51"/>
      <c r="G314" s="52"/>
      <c r="H314" s="58"/>
      <c r="I314" s="54"/>
      <c r="J314" s="55"/>
      <c r="K314" s="58"/>
      <c r="L314" s="58"/>
    </row>
    <row r="315" ht="50.25" customHeight="1">
      <c r="A315" s="40"/>
      <c r="B315" s="44" t="str">
        <f t="shared" si="1"/>
        <v>CNT</v>
      </c>
      <c r="C315" s="46"/>
      <c r="D315" s="142"/>
      <c r="E315" s="146"/>
      <c r="F315" s="51"/>
      <c r="G315" s="52"/>
      <c r="H315" s="58"/>
      <c r="I315" s="54"/>
      <c r="J315" s="55"/>
      <c r="K315" s="58"/>
      <c r="L315" s="58"/>
    </row>
    <row r="316" ht="50.25" customHeight="1">
      <c r="A316" s="40"/>
      <c r="B316" s="44" t="str">
        <f t="shared" si="1"/>
        <v>CNT</v>
      </c>
      <c r="C316" s="46"/>
      <c r="D316" s="142"/>
      <c r="E316" s="146"/>
      <c r="F316" s="51"/>
      <c r="G316" s="52"/>
      <c r="H316" s="58"/>
      <c r="I316" s="54"/>
      <c r="J316" s="55"/>
      <c r="K316" s="58"/>
      <c r="L316" s="58"/>
    </row>
    <row r="317" ht="50.25" customHeight="1">
      <c r="A317" s="40"/>
      <c r="B317" s="44" t="str">
        <f t="shared" si="1"/>
        <v>CNT</v>
      </c>
      <c r="C317" s="46"/>
      <c r="D317" s="142"/>
      <c r="E317" s="146"/>
      <c r="F317" s="51"/>
      <c r="G317" s="52"/>
      <c r="H317" s="58"/>
      <c r="I317" s="54"/>
      <c r="J317" s="55"/>
      <c r="K317" s="58"/>
      <c r="L317" s="58"/>
    </row>
    <row r="318" ht="50.25" customHeight="1">
      <c r="A318" s="40"/>
      <c r="B318" s="44" t="str">
        <f t="shared" si="1"/>
        <v>CNT</v>
      </c>
      <c r="C318" s="46"/>
      <c r="D318" s="142"/>
      <c r="E318" s="146"/>
      <c r="F318" s="51"/>
      <c r="G318" s="52"/>
      <c r="H318" s="58"/>
      <c r="I318" s="54"/>
      <c r="J318" s="55"/>
      <c r="K318" s="58"/>
      <c r="L318" s="58"/>
    </row>
    <row r="319" ht="50.25" customHeight="1">
      <c r="A319" s="40"/>
      <c r="B319" s="44" t="str">
        <f t="shared" si="1"/>
        <v>CNT</v>
      </c>
      <c r="C319" s="46"/>
      <c r="D319" s="142"/>
      <c r="E319" s="146"/>
      <c r="F319" s="51"/>
      <c r="G319" s="52"/>
      <c r="H319" s="58"/>
      <c r="I319" s="54"/>
      <c r="J319" s="55"/>
      <c r="K319" s="58"/>
      <c r="L319" s="58"/>
    </row>
    <row r="320" ht="50.25" customHeight="1">
      <c r="A320" s="40"/>
      <c r="B320" s="44" t="str">
        <f t="shared" si="1"/>
        <v>CNT</v>
      </c>
      <c r="C320" s="46"/>
      <c r="D320" s="142"/>
      <c r="E320" s="146"/>
      <c r="F320" s="51"/>
      <c r="G320" s="52"/>
      <c r="H320" s="58"/>
      <c r="I320" s="54"/>
      <c r="J320" s="55"/>
      <c r="K320" s="58"/>
      <c r="L320" s="58"/>
    </row>
    <row r="321" ht="50.25" customHeight="1">
      <c r="A321" s="40"/>
      <c r="B321" s="44" t="str">
        <f t="shared" si="1"/>
        <v>CNT</v>
      </c>
      <c r="C321" s="46"/>
      <c r="D321" s="142"/>
      <c r="E321" s="146"/>
      <c r="F321" s="51"/>
      <c r="G321" s="52"/>
      <c r="H321" s="58"/>
      <c r="I321" s="54"/>
      <c r="J321" s="55"/>
      <c r="K321" s="58"/>
      <c r="L321" s="58"/>
    </row>
    <row r="322" ht="50.25" customHeight="1">
      <c r="A322" s="40"/>
      <c r="B322" s="44" t="str">
        <f t="shared" si="1"/>
        <v>CNT</v>
      </c>
      <c r="C322" s="46"/>
      <c r="D322" s="142"/>
      <c r="E322" s="146"/>
      <c r="F322" s="51"/>
      <c r="G322" s="52"/>
      <c r="H322" s="58"/>
      <c r="I322" s="54"/>
      <c r="J322" s="55"/>
      <c r="K322" s="58"/>
      <c r="L322" s="58"/>
    </row>
    <row r="323" ht="50.25" customHeight="1">
      <c r="A323" s="40"/>
      <c r="B323" s="44" t="str">
        <f t="shared" si="1"/>
        <v>CNT</v>
      </c>
      <c r="C323" s="46"/>
      <c r="D323" s="142"/>
      <c r="E323" s="146"/>
      <c r="F323" s="51"/>
      <c r="G323" s="52"/>
      <c r="H323" s="58"/>
      <c r="I323" s="54"/>
      <c r="J323" s="55"/>
      <c r="K323" s="58"/>
      <c r="L323" s="58"/>
    </row>
    <row r="324" ht="50.25" customHeight="1">
      <c r="A324" s="40"/>
      <c r="B324" s="44" t="str">
        <f t="shared" si="1"/>
        <v>CNT</v>
      </c>
      <c r="C324" s="46"/>
      <c r="D324" s="142"/>
      <c r="E324" s="146"/>
      <c r="F324" s="51"/>
      <c r="G324" s="52"/>
      <c r="H324" s="58"/>
      <c r="I324" s="54"/>
      <c r="J324" s="55"/>
      <c r="K324" s="58"/>
      <c r="L324" s="58"/>
    </row>
    <row r="325" ht="50.25" customHeight="1">
      <c r="A325" s="40"/>
      <c r="B325" s="44" t="str">
        <f t="shared" si="1"/>
        <v>CNT</v>
      </c>
      <c r="C325" s="46"/>
      <c r="D325" s="142"/>
      <c r="E325" s="146"/>
      <c r="F325" s="51"/>
      <c r="G325" s="52"/>
      <c r="H325" s="58"/>
      <c r="I325" s="54"/>
      <c r="J325" s="55"/>
      <c r="K325" s="58"/>
      <c r="L325" s="58"/>
    </row>
    <row r="326" ht="50.25" customHeight="1">
      <c r="A326" s="40"/>
      <c r="B326" s="44" t="str">
        <f t="shared" si="1"/>
        <v>CNT</v>
      </c>
      <c r="C326" s="46"/>
      <c r="D326" s="142"/>
      <c r="E326" s="146"/>
      <c r="F326" s="51"/>
      <c r="G326" s="52"/>
      <c r="H326" s="58"/>
      <c r="I326" s="54"/>
      <c r="J326" s="55"/>
      <c r="K326" s="58"/>
      <c r="L326" s="58"/>
    </row>
    <row r="327" ht="50.25" customHeight="1">
      <c r="A327" s="40"/>
      <c r="B327" s="44" t="str">
        <f t="shared" si="1"/>
        <v>CNT</v>
      </c>
      <c r="C327" s="46"/>
      <c r="D327" s="142"/>
      <c r="E327" s="146"/>
      <c r="F327" s="51"/>
      <c r="G327" s="52"/>
      <c r="H327" s="58"/>
      <c r="I327" s="54"/>
      <c r="J327" s="55"/>
      <c r="K327" s="58"/>
      <c r="L327" s="58"/>
    </row>
    <row r="328" ht="50.25" customHeight="1">
      <c r="A328" s="40"/>
      <c r="B328" s="44" t="str">
        <f t="shared" si="1"/>
        <v>CNT</v>
      </c>
      <c r="C328" s="46"/>
      <c r="D328" s="142"/>
      <c r="E328" s="146"/>
      <c r="F328" s="51"/>
      <c r="G328" s="52"/>
      <c r="H328" s="58"/>
      <c r="I328" s="54"/>
      <c r="J328" s="55"/>
      <c r="K328" s="58"/>
      <c r="L328" s="58"/>
    </row>
    <row r="329" ht="50.25" customHeight="1">
      <c r="A329" s="40"/>
      <c r="B329" s="44" t="str">
        <f t="shared" si="1"/>
        <v>CNT</v>
      </c>
      <c r="C329" s="46"/>
      <c r="D329" s="142"/>
      <c r="E329" s="146"/>
      <c r="F329" s="51"/>
      <c r="G329" s="52"/>
      <c r="H329" s="58"/>
      <c r="I329" s="54"/>
      <c r="J329" s="55"/>
      <c r="K329" s="58"/>
      <c r="L329" s="58"/>
    </row>
    <row r="330" ht="50.25" customHeight="1">
      <c r="A330" s="40"/>
      <c r="B330" s="44" t="str">
        <f t="shared" si="1"/>
        <v>CNT</v>
      </c>
      <c r="C330" s="46"/>
      <c r="D330" s="142"/>
      <c r="E330" s="146"/>
      <c r="F330" s="51"/>
      <c r="G330" s="52"/>
      <c r="H330" s="58"/>
      <c r="I330" s="54"/>
      <c r="J330" s="55"/>
      <c r="K330" s="58"/>
      <c r="L330" s="58"/>
    </row>
    <row r="331" ht="50.25" customHeight="1">
      <c r="A331" s="40"/>
      <c r="B331" s="44" t="str">
        <f t="shared" si="1"/>
        <v>CNT</v>
      </c>
      <c r="C331" s="46"/>
      <c r="D331" s="142"/>
      <c r="E331" s="146"/>
      <c r="F331" s="51"/>
      <c r="G331" s="52"/>
      <c r="H331" s="58"/>
      <c r="I331" s="54"/>
      <c r="J331" s="55"/>
      <c r="K331" s="58"/>
      <c r="L331" s="58"/>
    </row>
    <row r="332" ht="50.25" customHeight="1">
      <c r="A332" s="40"/>
      <c r="B332" s="44" t="str">
        <f t="shared" si="1"/>
        <v>CNT</v>
      </c>
      <c r="C332" s="46"/>
      <c r="D332" s="142"/>
      <c r="E332" s="146"/>
      <c r="F332" s="51"/>
      <c r="G332" s="52"/>
      <c r="H332" s="58"/>
      <c r="I332" s="54"/>
      <c r="J332" s="55"/>
      <c r="K332" s="58"/>
      <c r="L332" s="58"/>
    </row>
    <row r="333" ht="50.25" customHeight="1">
      <c r="A333" s="40"/>
      <c r="B333" s="44" t="str">
        <f t="shared" si="1"/>
        <v>CNT</v>
      </c>
      <c r="C333" s="46"/>
      <c r="D333" s="142"/>
      <c r="E333" s="146"/>
      <c r="F333" s="51"/>
      <c r="G333" s="52"/>
      <c r="H333" s="58"/>
      <c r="I333" s="54"/>
      <c r="J333" s="55"/>
      <c r="K333" s="58"/>
      <c r="L333" s="58"/>
    </row>
    <row r="334" ht="50.25" customHeight="1">
      <c r="A334" s="40"/>
      <c r="B334" s="44" t="str">
        <f t="shared" si="1"/>
        <v>CNT</v>
      </c>
      <c r="C334" s="46"/>
      <c r="D334" s="142"/>
      <c r="E334" s="146"/>
      <c r="F334" s="51"/>
      <c r="G334" s="52"/>
      <c r="H334" s="58"/>
      <c r="I334" s="54"/>
      <c r="J334" s="55"/>
      <c r="K334" s="58"/>
      <c r="L334" s="58"/>
    </row>
    <row r="335" ht="50.25" customHeight="1">
      <c r="A335" s="40"/>
      <c r="B335" s="44" t="str">
        <f t="shared" si="1"/>
        <v>CNT</v>
      </c>
      <c r="C335" s="46"/>
      <c r="D335" s="142"/>
      <c r="E335" s="146"/>
      <c r="F335" s="51"/>
      <c r="G335" s="52"/>
      <c r="H335" s="58"/>
      <c r="I335" s="54"/>
      <c r="J335" s="55"/>
      <c r="K335" s="58"/>
      <c r="L335" s="58"/>
    </row>
    <row r="336" ht="50.25" customHeight="1">
      <c r="A336" s="40"/>
      <c r="B336" s="44" t="str">
        <f t="shared" si="1"/>
        <v>CNT</v>
      </c>
      <c r="C336" s="46"/>
      <c r="D336" s="142"/>
      <c r="E336" s="146"/>
      <c r="F336" s="51"/>
      <c r="G336" s="52"/>
      <c r="H336" s="58"/>
      <c r="I336" s="54"/>
      <c r="J336" s="55"/>
      <c r="K336" s="58"/>
      <c r="L336" s="58"/>
    </row>
    <row r="337" ht="50.25" customHeight="1">
      <c r="A337" s="40"/>
      <c r="B337" s="44" t="str">
        <f t="shared" si="1"/>
        <v>CNT</v>
      </c>
      <c r="C337" s="46"/>
      <c r="D337" s="142"/>
      <c r="E337" s="146"/>
      <c r="F337" s="51"/>
      <c r="G337" s="52"/>
      <c r="H337" s="58"/>
      <c r="I337" s="54"/>
      <c r="J337" s="55"/>
      <c r="K337" s="58"/>
      <c r="L337" s="58"/>
    </row>
    <row r="338" ht="50.25" customHeight="1">
      <c r="A338" s="40"/>
      <c r="B338" s="44" t="str">
        <f t="shared" si="1"/>
        <v>CNT</v>
      </c>
      <c r="C338" s="46"/>
      <c r="D338" s="142"/>
      <c r="E338" s="146"/>
      <c r="F338" s="51"/>
      <c r="G338" s="52"/>
      <c r="H338" s="58"/>
      <c r="I338" s="54"/>
      <c r="J338" s="55"/>
      <c r="K338" s="58"/>
      <c r="L338" s="58"/>
    </row>
    <row r="339" ht="50.25" customHeight="1">
      <c r="A339" s="40"/>
      <c r="B339" s="44" t="str">
        <f t="shared" si="1"/>
        <v>CNT</v>
      </c>
      <c r="C339" s="46"/>
      <c r="D339" s="142"/>
      <c r="E339" s="146"/>
      <c r="F339" s="51"/>
      <c r="G339" s="52"/>
      <c r="H339" s="58"/>
      <c r="I339" s="54"/>
      <c r="J339" s="55"/>
      <c r="K339" s="58"/>
      <c r="L339" s="58"/>
    </row>
    <row r="340" ht="50.25" customHeight="1">
      <c r="A340" s="40"/>
      <c r="B340" s="44" t="str">
        <f t="shared" si="1"/>
        <v>CNT</v>
      </c>
      <c r="C340" s="46"/>
      <c r="D340" s="142"/>
      <c r="E340" s="146"/>
      <c r="F340" s="51"/>
      <c r="G340" s="52"/>
      <c r="H340" s="58"/>
      <c r="I340" s="54"/>
      <c r="J340" s="55"/>
      <c r="K340" s="58"/>
      <c r="L340" s="58"/>
    </row>
    <row r="341" ht="50.25" customHeight="1">
      <c r="A341" s="40"/>
      <c r="B341" s="44" t="str">
        <f t="shared" si="1"/>
        <v>CNT</v>
      </c>
      <c r="C341" s="46"/>
      <c r="D341" s="142"/>
      <c r="E341" s="146"/>
      <c r="F341" s="51"/>
      <c r="G341" s="52"/>
      <c r="H341" s="58"/>
      <c r="I341" s="54"/>
      <c r="J341" s="55"/>
      <c r="K341" s="58"/>
      <c r="L341" s="58"/>
    </row>
    <row r="342" ht="50.25" customHeight="1">
      <c r="A342" s="40"/>
      <c r="B342" s="44" t="str">
        <f t="shared" si="1"/>
        <v>CNT</v>
      </c>
      <c r="C342" s="46"/>
      <c r="D342" s="142"/>
      <c r="E342" s="146"/>
      <c r="F342" s="51"/>
      <c r="G342" s="52"/>
      <c r="H342" s="58"/>
      <c r="I342" s="54"/>
      <c r="J342" s="55"/>
      <c r="K342" s="58"/>
      <c r="L342" s="58"/>
    </row>
    <row r="343" ht="50.25" customHeight="1">
      <c r="A343" s="40"/>
      <c r="B343" s="44" t="str">
        <f t="shared" si="1"/>
        <v>CNT</v>
      </c>
      <c r="C343" s="46"/>
      <c r="D343" s="142"/>
      <c r="E343" s="146"/>
      <c r="F343" s="51"/>
      <c r="G343" s="52"/>
      <c r="H343" s="58"/>
      <c r="I343" s="54"/>
      <c r="J343" s="55"/>
      <c r="K343" s="58"/>
      <c r="L343" s="58"/>
    </row>
    <row r="344" ht="50.25" customHeight="1">
      <c r="A344" s="40"/>
      <c r="B344" s="44" t="str">
        <f t="shared" si="1"/>
        <v>CNT</v>
      </c>
      <c r="C344" s="46"/>
      <c r="D344" s="142"/>
      <c r="E344" s="146"/>
      <c r="F344" s="51"/>
      <c r="G344" s="52"/>
      <c r="H344" s="58"/>
      <c r="I344" s="54"/>
      <c r="J344" s="55"/>
      <c r="K344" s="58"/>
      <c r="L344" s="58"/>
    </row>
    <row r="345" ht="50.25" customHeight="1">
      <c r="A345" s="40"/>
      <c r="B345" s="44" t="str">
        <f t="shared" si="1"/>
        <v>CNT</v>
      </c>
      <c r="C345" s="46"/>
      <c r="D345" s="142"/>
      <c r="E345" s="146"/>
      <c r="F345" s="51"/>
      <c r="G345" s="52"/>
      <c r="H345" s="58"/>
      <c r="I345" s="54"/>
      <c r="J345" s="55"/>
      <c r="K345" s="58"/>
      <c r="L345" s="58"/>
    </row>
    <row r="346" ht="50.25" customHeight="1">
      <c r="A346" s="40"/>
      <c r="B346" s="44" t="str">
        <f t="shared" si="1"/>
        <v>CNT</v>
      </c>
      <c r="C346" s="46"/>
      <c r="D346" s="142"/>
      <c r="E346" s="146"/>
      <c r="F346" s="51"/>
      <c r="G346" s="52"/>
      <c r="H346" s="58"/>
      <c r="I346" s="54"/>
      <c r="J346" s="55"/>
      <c r="K346" s="58"/>
      <c r="L346" s="58"/>
    </row>
    <row r="347" ht="50.25" customHeight="1">
      <c r="A347" s="40"/>
      <c r="B347" s="44" t="str">
        <f t="shared" si="1"/>
        <v>CNT</v>
      </c>
      <c r="C347" s="46"/>
      <c r="D347" s="142"/>
      <c r="E347" s="146"/>
      <c r="F347" s="51"/>
      <c r="G347" s="52"/>
      <c r="H347" s="58"/>
      <c r="I347" s="54"/>
      <c r="J347" s="55"/>
      <c r="K347" s="58"/>
      <c r="L347" s="58"/>
    </row>
    <row r="348" ht="50.25" customHeight="1">
      <c r="A348" s="40"/>
      <c r="B348" s="44" t="str">
        <f t="shared" si="1"/>
        <v>CNT</v>
      </c>
      <c r="C348" s="46"/>
      <c r="D348" s="142"/>
      <c r="E348" s="146"/>
      <c r="F348" s="51"/>
      <c r="G348" s="52"/>
      <c r="H348" s="58"/>
      <c r="I348" s="54"/>
      <c r="J348" s="55"/>
      <c r="K348" s="58"/>
      <c r="L348" s="58"/>
    </row>
    <row r="349" ht="50.25" customHeight="1">
      <c r="A349" s="40"/>
      <c r="B349" s="44" t="str">
        <f t="shared" si="1"/>
        <v>CNT</v>
      </c>
      <c r="C349" s="46"/>
      <c r="D349" s="142"/>
      <c r="E349" s="146"/>
      <c r="F349" s="51"/>
      <c r="G349" s="52"/>
      <c r="H349" s="58"/>
      <c r="I349" s="54"/>
      <c r="J349" s="55"/>
      <c r="K349" s="58"/>
      <c r="L349" s="58"/>
    </row>
    <row r="350" ht="50.25" customHeight="1">
      <c r="A350" s="40"/>
      <c r="B350" s="44" t="str">
        <f t="shared" si="1"/>
        <v>CNT</v>
      </c>
      <c r="C350" s="46"/>
      <c r="D350" s="142"/>
      <c r="E350" s="146"/>
      <c r="F350" s="51"/>
      <c r="G350" s="52"/>
      <c r="H350" s="58"/>
      <c r="I350" s="54"/>
      <c r="J350" s="55"/>
      <c r="K350" s="58"/>
      <c r="L350" s="58"/>
    </row>
    <row r="351" ht="50.25" customHeight="1">
      <c r="A351" s="40"/>
      <c r="B351" s="44" t="str">
        <f t="shared" si="1"/>
        <v>CNT</v>
      </c>
      <c r="C351" s="46"/>
      <c r="D351" s="142"/>
      <c r="E351" s="146"/>
      <c r="F351" s="51"/>
      <c r="G351" s="52"/>
      <c r="H351" s="58"/>
      <c r="I351" s="54"/>
      <c r="J351" s="55"/>
      <c r="K351" s="58"/>
      <c r="L351" s="58"/>
    </row>
    <row r="352" ht="50.25" customHeight="1">
      <c r="A352" s="40"/>
      <c r="B352" s="44" t="str">
        <f t="shared" si="1"/>
        <v>CNT</v>
      </c>
      <c r="C352" s="46"/>
      <c r="D352" s="142"/>
      <c r="E352" s="146"/>
      <c r="F352" s="51"/>
      <c r="G352" s="52"/>
      <c r="H352" s="58"/>
      <c r="I352" s="54"/>
      <c r="J352" s="55"/>
      <c r="K352" s="58"/>
      <c r="L352" s="58"/>
    </row>
    <row r="353" ht="50.25" customHeight="1">
      <c r="A353" s="40"/>
      <c r="B353" s="44" t="str">
        <f t="shared" si="1"/>
        <v>CNT</v>
      </c>
      <c r="C353" s="46"/>
      <c r="D353" s="142"/>
      <c r="E353" s="146"/>
      <c r="F353" s="51"/>
      <c r="G353" s="52"/>
      <c r="H353" s="58"/>
      <c r="I353" s="54"/>
      <c r="J353" s="55"/>
      <c r="K353" s="58"/>
      <c r="L353" s="58"/>
    </row>
    <row r="354" ht="50.25" customHeight="1">
      <c r="A354" s="40"/>
      <c r="B354" s="44" t="str">
        <f t="shared" si="1"/>
        <v>CNT</v>
      </c>
      <c r="C354" s="46"/>
      <c r="D354" s="142"/>
      <c r="E354" s="146"/>
      <c r="F354" s="51"/>
      <c r="G354" s="52"/>
      <c r="H354" s="58"/>
      <c r="I354" s="54"/>
      <c r="J354" s="55"/>
      <c r="K354" s="58"/>
      <c r="L354" s="58"/>
    </row>
    <row r="355" ht="50.25" customHeight="1">
      <c r="A355" s="40"/>
      <c r="B355" s="44" t="str">
        <f t="shared" si="1"/>
        <v>CNT</v>
      </c>
      <c r="C355" s="46"/>
      <c r="D355" s="142"/>
      <c r="E355" s="146"/>
      <c r="F355" s="51"/>
      <c r="G355" s="52"/>
      <c r="H355" s="58"/>
      <c r="I355" s="54"/>
      <c r="J355" s="55"/>
      <c r="K355" s="58"/>
      <c r="L355" s="58"/>
    </row>
    <row r="356" ht="50.25" customHeight="1">
      <c r="A356" s="40"/>
      <c r="B356" s="44" t="str">
        <f t="shared" si="1"/>
        <v>CNT</v>
      </c>
      <c r="C356" s="46"/>
      <c r="D356" s="142"/>
      <c r="E356" s="146"/>
      <c r="F356" s="51"/>
      <c r="G356" s="52"/>
      <c r="H356" s="58"/>
      <c r="I356" s="54"/>
      <c r="J356" s="55"/>
      <c r="K356" s="58"/>
      <c r="L356" s="58"/>
    </row>
    <row r="357" ht="50.25" customHeight="1">
      <c r="A357" s="40"/>
      <c r="B357" s="44" t="str">
        <f t="shared" si="1"/>
        <v>CNT</v>
      </c>
      <c r="C357" s="46"/>
      <c r="D357" s="142"/>
      <c r="E357" s="146"/>
      <c r="F357" s="51"/>
      <c r="G357" s="52"/>
      <c r="H357" s="58"/>
      <c r="I357" s="54"/>
      <c r="J357" s="55"/>
      <c r="K357" s="58"/>
      <c r="L357" s="58"/>
    </row>
    <row r="358" ht="50.25" customHeight="1">
      <c r="A358" s="40"/>
      <c r="B358" s="44" t="str">
        <f t="shared" si="1"/>
        <v>CNT</v>
      </c>
      <c r="C358" s="46"/>
      <c r="D358" s="142"/>
      <c r="E358" s="146"/>
      <c r="F358" s="51"/>
      <c r="G358" s="52"/>
      <c r="H358" s="58"/>
      <c r="I358" s="54"/>
      <c r="J358" s="55"/>
      <c r="K358" s="58"/>
      <c r="L358" s="58"/>
    </row>
    <row r="359" ht="50.25" customHeight="1">
      <c r="A359" s="40"/>
      <c r="B359" s="44" t="str">
        <f t="shared" si="1"/>
        <v>CNT</v>
      </c>
      <c r="C359" s="46"/>
      <c r="D359" s="142"/>
      <c r="E359" s="146"/>
      <c r="F359" s="51"/>
      <c r="G359" s="52"/>
      <c r="H359" s="58"/>
      <c r="I359" s="54"/>
      <c r="J359" s="55"/>
      <c r="K359" s="58"/>
      <c r="L359" s="58"/>
    </row>
    <row r="360" ht="50.25" customHeight="1">
      <c r="A360" s="40"/>
      <c r="B360" s="44" t="str">
        <f t="shared" si="1"/>
        <v>CNT</v>
      </c>
      <c r="C360" s="46"/>
      <c r="D360" s="142"/>
      <c r="E360" s="146"/>
      <c r="F360" s="51"/>
      <c r="G360" s="52"/>
      <c r="H360" s="58"/>
      <c r="I360" s="54"/>
      <c r="J360" s="55"/>
      <c r="K360" s="58"/>
      <c r="L360" s="58"/>
    </row>
    <row r="361" ht="50.25" customHeight="1">
      <c r="A361" s="40"/>
      <c r="B361" s="44" t="str">
        <f t="shared" si="1"/>
        <v>CNT</v>
      </c>
      <c r="C361" s="46"/>
      <c r="D361" s="142"/>
      <c r="E361" s="146"/>
      <c r="F361" s="51"/>
      <c r="G361" s="52"/>
      <c r="H361" s="58"/>
      <c r="I361" s="54"/>
      <c r="J361" s="55"/>
      <c r="K361" s="58"/>
      <c r="L361" s="58"/>
    </row>
    <row r="362" ht="50.25" customHeight="1">
      <c r="A362" s="40"/>
      <c r="B362" s="44" t="str">
        <f t="shared" si="1"/>
        <v>CNT</v>
      </c>
      <c r="C362" s="46"/>
      <c r="D362" s="142"/>
      <c r="E362" s="146"/>
      <c r="F362" s="51"/>
      <c r="G362" s="52"/>
      <c r="H362" s="58"/>
      <c r="I362" s="54"/>
      <c r="J362" s="55"/>
      <c r="K362" s="58"/>
      <c r="L362" s="58"/>
    </row>
    <row r="363" ht="50.25" customHeight="1">
      <c r="A363" s="40"/>
      <c r="B363" s="44" t="str">
        <f t="shared" si="1"/>
        <v>CNT</v>
      </c>
      <c r="C363" s="46"/>
      <c r="D363" s="142"/>
      <c r="E363" s="146"/>
      <c r="F363" s="51"/>
      <c r="G363" s="52"/>
      <c r="H363" s="58"/>
      <c r="I363" s="54"/>
      <c r="J363" s="55"/>
      <c r="K363" s="58"/>
      <c r="L363" s="58"/>
    </row>
    <row r="364" ht="50.25" customHeight="1">
      <c r="A364" s="40"/>
      <c r="B364" s="44" t="str">
        <f t="shared" si="1"/>
        <v>CNT</v>
      </c>
      <c r="C364" s="46"/>
      <c r="D364" s="142"/>
      <c r="E364" s="146"/>
      <c r="F364" s="51"/>
      <c r="G364" s="52"/>
      <c r="H364" s="58"/>
      <c r="I364" s="54"/>
      <c r="J364" s="55"/>
      <c r="K364" s="58"/>
      <c r="L364" s="58"/>
    </row>
    <row r="365" ht="50.25" customHeight="1">
      <c r="A365" s="40"/>
      <c r="B365" s="44" t="str">
        <f t="shared" si="1"/>
        <v>CNT</v>
      </c>
      <c r="C365" s="46"/>
      <c r="D365" s="142"/>
      <c r="E365" s="146"/>
      <c r="F365" s="51"/>
      <c r="G365" s="52"/>
      <c r="H365" s="58"/>
      <c r="I365" s="54"/>
      <c r="J365" s="55"/>
      <c r="K365" s="58"/>
      <c r="L365" s="58"/>
    </row>
    <row r="366" ht="50.25" customHeight="1">
      <c r="A366" s="40"/>
      <c r="B366" s="44" t="str">
        <f t="shared" si="1"/>
        <v>CNT</v>
      </c>
      <c r="C366" s="46"/>
      <c r="D366" s="142"/>
      <c r="E366" s="146"/>
      <c r="F366" s="51"/>
      <c r="G366" s="52"/>
      <c r="H366" s="58"/>
      <c r="I366" s="54"/>
      <c r="J366" s="55"/>
      <c r="K366" s="58"/>
      <c r="L366" s="58"/>
    </row>
    <row r="367" ht="50.25" customHeight="1">
      <c r="A367" s="40"/>
      <c r="B367" s="44" t="str">
        <f t="shared" si="1"/>
        <v>CNT</v>
      </c>
      <c r="C367" s="46"/>
      <c r="D367" s="142"/>
      <c r="E367" s="146"/>
      <c r="F367" s="51"/>
      <c r="G367" s="52"/>
      <c r="H367" s="58"/>
      <c r="I367" s="54"/>
      <c r="J367" s="55"/>
      <c r="K367" s="58"/>
      <c r="L367" s="58"/>
    </row>
    <row r="368" ht="50.25" customHeight="1">
      <c r="A368" s="40"/>
      <c r="B368" s="44" t="str">
        <f t="shared" si="1"/>
        <v>CNT</v>
      </c>
      <c r="C368" s="46"/>
      <c r="D368" s="142"/>
      <c r="E368" s="146"/>
      <c r="F368" s="51"/>
      <c r="G368" s="52"/>
      <c r="H368" s="58"/>
      <c r="I368" s="54"/>
      <c r="J368" s="55"/>
      <c r="K368" s="58"/>
      <c r="L368" s="58"/>
    </row>
    <row r="369" ht="50.25" customHeight="1">
      <c r="A369" s="40"/>
      <c r="B369" s="44" t="str">
        <f t="shared" si="1"/>
        <v>CNT</v>
      </c>
      <c r="C369" s="46"/>
      <c r="D369" s="142"/>
      <c r="E369" s="146"/>
      <c r="F369" s="51"/>
      <c r="G369" s="52"/>
      <c r="H369" s="58"/>
      <c r="I369" s="54"/>
      <c r="J369" s="55"/>
      <c r="K369" s="58"/>
      <c r="L369" s="58"/>
    </row>
    <row r="370" ht="50.25" customHeight="1">
      <c r="A370" s="40"/>
      <c r="B370" s="44" t="str">
        <f t="shared" si="1"/>
        <v>CNT</v>
      </c>
      <c r="C370" s="46"/>
      <c r="D370" s="142"/>
      <c r="E370" s="146"/>
      <c r="F370" s="51"/>
      <c r="G370" s="52"/>
      <c r="H370" s="58"/>
      <c r="I370" s="54"/>
      <c r="J370" s="55"/>
      <c r="K370" s="58"/>
      <c r="L370" s="58"/>
    </row>
    <row r="371" ht="50.25" customHeight="1">
      <c r="A371" s="40"/>
      <c r="B371" s="44" t="str">
        <f t="shared" si="1"/>
        <v>CNT</v>
      </c>
      <c r="C371" s="46"/>
      <c r="D371" s="142"/>
      <c r="E371" s="146"/>
      <c r="F371" s="51"/>
      <c r="G371" s="52"/>
      <c r="H371" s="58"/>
      <c r="I371" s="54"/>
      <c r="J371" s="55"/>
      <c r="K371" s="58"/>
      <c r="L371" s="58"/>
    </row>
    <row r="372" ht="50.25" customHeight="1">
      <c r="A372" s="40"/>
      <c r="B372" s="44" t="str">
        <f t="shared" si="1"/>
        <v>CNT</v>
      </c>
      <c r="C372" s="46"/>
      <c r="D372" s="142"/>
      <c r="E372" s="146"/>
      <c r="F372" s="51"/>
      <c r="G372" s="52"/>
      <c r="H372" s="58"/>
      <c r="I372" s="54"/>
      <c r="J372" s="55"/>
      <c r="K372" s="58"/>
      <c r="L372" s="58"/>
    </row>
    <row r="373" ht="50.25" customHeight="1">
      <c r="A373" s="40"/>
      <c r="B373" s="44" t="str">
        <f t="shared" si="1"/>
        <v>CNT</v>
      </c>
      <c r="C373" s="46"/>
      <c r="D373" s="142"/>
      <c r="E373" s="146"/>
      <c r="F373" s="51"/>
      <c r="G373" s="52"/>
      <c r="H373" s="58"/>
      <c r="I373" s="54"/>
      <c r="J373" s="55"/>
      <c r="K373" s="58"/>
      <c r="L373" s="58"/>
    </row>
    <row r="374" ht="50.25" customHeight="1">
      <c r="A374" s="40"/>
      <c r="B374" s="44" t="str">
        <f t="shared" si="1"/>
        <v>CNT</v>
      </c>
      <c r="C374" s="46"/>
      <c r="D374" s="142"/>
      <c r="E374" s="146"/>
      <c r="F374" s="51"/>
      <c r="G374" s="52"/>
      <c r="H374" s="58"/>
      <c r="I374" s="54"/>
      <c r="J374" s="55"/>
      <c r="K374" s="58"/>
      <c r="L374" s="58"/>
    </row>
    <row r="375" ht="50.25" customHeight="1">
      <c r="A375" s="40"/>
      <c r="B375" s="44" t="str">
        <f t="shared" si="1"/>
        <v>CNT</v>
      </c>
      <c r="C375" s="46"/>
      <c r="D375" s="142"/>
      <c r="E375" s="146"/>
      <c r="F375" s="51"/>
      <c r="G375" s="52"/>
      <c r="H375" s="58"/>
      <c r="I375" s="54"/>
      <c r="J375" s="55"/>
      <c r="K375" s="58"/>
      <c r="L375" s="58"/>
    </row>
    <row r="376" ht="50.25" customHeight="1">
      <c r="A376" s="40"/>
      <c r="B376" s="44" t="str">
        <f t="shared" si="1"/>
        <v>CNT</v>
      </c>
      <c r="C376" s="46"/>
      <c r="D376" s="142"/>
      <c r="E376" s="146"/>
      <c r="F376" s="51"/>
      <c r="G376" s="52"/>
      <c r="H376" s="58"/>
      <c r="I376" s="54"/>
      <c r="J376" s="55"/>
      <c r="K376" s="58"/>
      <c r="L376" s="58"/>
    </row>
    <row r="377" ht="50.25" customHeight="1">
      <c r="A377" s="40"/>
      <c r="B377" s="44" t="str">
        <f t="shared" si="1"/>
        <v>CNT</v>
      </c>
      <c r="C377" s="46"/>
      <c r="D377" s="142"/>
      <c r="E377" s="146"/>
      <c r="F377" s="51"/>
      <c r="G377" s="52"/>
      <c r="H377" s="58"/>
      <c r="I377" s="54"/>
      <c r="J377" s="55"/>
      <c r="K377" s="58"/>
      <c r="L377" s="58"/>
    </row>
    <row r="378" ht="50.25" customHeight="1">
      <c r="A378" s="40"/>
      <c r="B378" s="44" t="str">
        <f t="shared" si="1"/>
        <v>CNT</v>
      </c>
      <c r="C378" s="46"/>
      <c r="D378" s="142"/>
      <c r="E378" s="146"/>
      <c r="F378" s="51"/>
      <c r="G378" s="52"/>
      <c r="H378" s="58"/>
      <c r="I378" s="54"/>
      <c r="J378" s="55"/>
      <c r="K378" s="58"/>
      <c r="L378" s="58"/>
    </row>
    <row r="379" ht="50.25" customHeight="1">
      <c r="A379" s="40"/>
      <c r="B379" s="44" t="str">
        <f t="shared" si="1"/>
        <v>CNT</v>
      </c>
      <c r="C379" s="46"/>
      <c r="D379" s="142"/>
      <c r="E379" s="146"/>
      <c r="F379" s="51"/>
      <c r="G379" s="52"/>
      <c r="H379" s="58"/>
      <c r="I379" s="54"/>
      <c r="J379" s="55"/>
      <c r="K379" s="58"/>
      <c r="L379" s="58"/>
    </row>
    <row r="380" ht="50.25" customHeight="1">
      <c r="A380" s="40"/>
      <c r="B380" s="44" t="str">
        <f t="shared" si="1"/>
        <v>CNT</v>
      </c>
      <c r="C380" s="46"/>
      <c r="D380" s="142"/>
      <c r="E380" s="146"/>
      <c r="F380" s="51"/>
      <c r="G380" s="52"/>
      <c r="H380" s="58"/>
      <c r="I380" s="54"/>
      <c r="J380" s="55"/>
      <c r="K380" s="58"/>
      <c r="L380" s="58"/>
    </row>
    <row r="381" ht="50.25" customHeight="1">
      <c r="A381" s="40"/>
      <c r="B381" s="44" t="str">
        <f t="shared" si="1"/>
        <v>CNT</v>
      </c>
      <c r="C381" s="46"/>
      <c r="D381" s="142"/>
      <c r="E381" s="146"/>
      <c r="F381" s="51"/>
      <c r="G381" s="52"/>
      <c r="H381" s="58"/>
      <c r="I381" s="54"/>
      <c r="J381" s="55"/>
      <c r="K381" s="58"/>
      <c r="L381" s="58"/>
    </row>
    <row r="382" ht="50.25" customHeight="1">
      <c r="A382" s="40"/>
      <c r="B382" s="44" t="str">
        <f t="shared" si="1"/>
        <v>CNT</v>
      </c>
      <c r="C382" s="46"/>
      <c r="D382" s="142"/>
      <c r="E382" s="146"/>
      <c r="F382" s="51"/>
      <c r="G382" s="52"/>
      <c r="H382" s="58"/>
      <c r="I382" s="54"/>
      <c r="J382" s="55"/>
      <c r="K382" s="58"/>
      <c r="L382" s="58"/>
    </row>
    <row r="383" ht="50.25" customHeight="1">
      <c r="A383" s="40"/>
      <c r="B383" s="44" t="str">
        <f t="shared" si="1"/>
        <v>CNT</v>
      </c>
      <c r="C383" s="46"/>
      <c r="D383" s="142"/>
      <c r="E383" s="146"/>
      <c r="F383" s="51"/>
      <c r="G383" s="52"/>
      <c r="H383" s="58"/>
      <c r="I383" s="54"/>
      <c r="J383" s="55"/>
      <c r="K383" s="58"/>
      <c r="L383" s="58"/>
    </row>
    <row r="384" ht="50.25" customHeight="1">
      <c r="A384" s="40"/>
      <c r="B384" s="44" t="str">
        <f t="shared" si="1"/>
        <v>CNT</v>
      </c>
      <c r="C384" s="46"/>
      <c r="D384" s="142"/>
      <c r="E384" s="146"/>
      <c r="F384" s="51"/>
      <c r="G384" s="52"/>
      <c r="H384" s="58"/>
      <c r="I384" s="54"/>
      <c r="J384" s="55"/>
      <c r="K384" s="58"/>
      <c r="L384" s="58"/>
    </row>
    <row r="385" ht="50.25" customHeight="1">
      <c r="A385" s="40"/>
      <c r="B385" s="44" t="str">
        <f t="shared" si="1"/>
        <v>CNT</v>
      </c>
      <c r="C385" s="46"/>
      <c r="D385" s="142"/>
      <c r="E385" s="146"/>
      <c r="F385" s="51"/>
      <c r="G385" s="52"/>
      <c r="H385" s="58"/>
      <c r="I385" s="54"/>
      <c r="J385" s="55"/>
      <c r="K385" s="58"/>
      <c r="L385" s="58"/>
    </row>
    <row r="386" ht="50.25" customHeight="1">
      <c r="A386" s="40"/>
      <c r="B386" s="44" t="str">
        <f t="shared" si="1"/>
        <v>CNT</v>
      </c>
      <c r="C386" s="46"/>
      <c r="D386" s="142"/>
      <c r="E386" s="146"/>
      <c r="F386" s="51"/>
      <c r="G386" s="52"/>
      <c r="H386" s="58"/>
      <c r="I386" s="54"/>
      <c r="J386" s="55"/>
      <c r="K386" s="58"/>
      <c r="L386" s="58"/>
    </row>
    <row r="387" ht="50.25" customHeight="1">
      <c r="A387" s="40"/>
      <c r="B387" s="44" t="str">
        <f t="shared" si="1"/>
        <v>CNT</v>
      </c>
      <c r="C387" s="46"/>
      <c r="D387" s="142"/>
      <c r="E387" s="146"/>
      <c r="F387" s="51"/>
      <c r="G387" s="52"/>
      <c r="H387" s="58"/>
      <c r="I387" s="54"/>
      <c r="J387" s="55"/>
      <c r="K387" s="58"/>
      <c r="L387" s="58"/>
    </row>
    <row r="388" ht="50.25" customHeight="1">
      <c r="A388" s="40"/>
      <c r="B388" s="44" t="str">
        <f t="shared" si="1"/>
        <v>CNT</v>
      </c>
      <c r="C388" s="46"/>
      <c r="D388" s="142"/>
      <c r="E388" s="146"/>
      <c r="F388" s="51"/>
      <c r="G388" s="52"/>
      <c r="H388" s="58"/>
      <c r="I388" s="54"/>
      <c r="J388" s="55"/>
      <c r="K388" s="58"/>
      <c r="L388" s="58"/>
    </row>
    <row r="389" ht="50.25" customHeight="1">
      <c r="A389" s="40"/>
      <c r="B389" s="44" t="str">
        <f t="shared" si="1"/>
        <v>CNT</v>
      </c>
      <c r="C389" s="46"/>
      <c r="D389" s="142"/>
      <c r="E389" s="146"/>
      <c r="F389" s="51"/>
      <c r="G389" s="52"/>
      <c r="H389" s="58"/>
      <c r="I389" s="54"/>
      <c r="J389" s="55"/>
      <c r="K389" s="58"/>
      <c r="L389" s="58"/>
    </row>
    <row r="390" ht="50.25" customHeight="1">
      <c r="A390" s="40"/>
      <c r="B390" s="44" t="str">
        <f t="shared" si="1"/>
        <v>CNT</v>
      </c>
      <c r="C390" s="46"/>
      <c r="D390" s="142"/>
      <c r="E390" s="146"/>
      <c r="F390" s="51"/>
      <c r="G390" s="52"/>
      <c r="H390" s="58"/>
      <c r="I390" s="54"/>
      <c r="J390" s="55"/>
      <c r="K390" s="58"/>
      <c r="L390" s="58"/>
    </row>
    <row r="391" ht="50.25" customHeight="1">
      <c r="A391" s="40"/>
      <c r="B391" s="44" t="str">
        <f t="shared" si="1"/>
        <v>CNT</v>
      </c>
      <c r="C391" s="46"/>
      <c r="D391" s="142"/>
      <c r="E391" s="146"/>
      <c r="F391" s="51"/>
      <c r="G391" s="52"/>
      <c r="H391" s="58"/>
      <c r="I391" s="54"/>
      <c r="J391" s="55"/>
      <c r="K391" s="58"/>
      <c r="L391" s="58"/>
    </row>
    <row r="392" ht="50.25" customHeight="1">
      <c r="A392" s="40"/>
      <c r="B392" s="44" t="str">
        <f t="shared" si="1"/>
        <v>CNT</v>
      </c>
      <c r="C392" s="46"/>
      <c r="D392" s="142"/>
      <c r="E392" s="146"/>
      <c r="F392" s="51"/>
      <c r="G392" s="52"/>
      <c r="H392" s="58"/>
      <c r="I392" s="54"/>
      <c r="J392" s="55"/>
      <c r="K392" s="58"/>
      <c r="L392" s="58"/>
    </row>
    <row r="393" ht="50.25" customHeight="1">
      <c r="A393" s="40"/>
      <c r="B393" s="44" t="str">
        <f t="shared" si="1"/>
        <v>CNT</v>
      </c>
      <c r="C393" s="46"/>
      <c r="D393" s="142"/>
      <c r="E393" s="146"/>
      <c r="F393" s="51"/>
      <c r="G393" s="52"/>
      <c r="H393" s="58"/>
      <c r="I393" s="54"/>
      <c r="J393" s="55"/>
      <c r="K393" s="58"/>
      <c r="L393" s="58"/>
    </row>
    <row r="394" ht="50.25" customHeight="1">
      <c r="A394" s="40"/>
      <c r="B394" s="44" t="str">
        <f t="shared" si="1"/>
        <v>CNT</v>
      </c>
      <c r="C394" s="46"/>
      <c r="D394" s="142"/>
      <c r="E394" s="146"/>
      <c r="F394" s="51"/>
      <c r="G394" s="52"/>
      <c r="H394" s="58"/>
      <c r="I394" s="54"/>
      <c r="J394" s="55"/>
      <c r="K394" s="58"/>
      <c r="L394" s="58"/>
    </row>
    <row r="395" ht="50.25" customHeight="1">
      <c r="A395" s="40"/>
      <c r="B395" s="44" t="str">
        <f t="shared" si="1"/>
        <v>CNT</v>
      </c>
      <c r="C395" s="46"/>
      <c r="D395" s="142"/>
      <c r="E395" s="146"/>
      <c r="F395" s="51"/>
      <c r="G395" s="52"/>
      <c r="H395" s="58"/>
      <c r="I395" s="54"/>
      <c r="J395" s="55"/>
      <c r="K395" s="58"/>
      <c r="L395" s="58"/>
    </row>
    <row r="396" ht="50.25" customHeight="1">
      <c r="A396" s="40"/>
      <c r="B396" s="44" t="str">
        <f t="shared" si="1"/>
        <v>CNT</v>
      </c>
      <c r="C396" s="46"/>
      <c r="D396" s="142"/>
      <c r="E396" s="146"/>
      <c r="F396" s="51"/>
      <c r="G396" s="52"/>
      <c r="H396" s="58"/>
      <c r="I396" s="54"/>
      <c r="J396" s="55"/>
      <c r="K396" s="58"/>
      <c r="L396" s="58"/>
    </row>
    <row r="397" ht="50.25" customHeight="1">
      <c r="A397" s="40"/>
      <c r="B397" s="44" t="str">
        <f t="shared" si="1"/>
        <v>CNT</v>
      </c>
      <c r="C397" s="46"/>
      <c r="D397" s="142"/>
      <c r="E397" s="146"/>
      <c r="F397" s="51"/>
      <c r="G397" s="52"/>
      <c r="H397" s="58"/>
      <c r="I397" s="54"/>
      <c r="J397" s="55"/>
      <c r="K397" s="58"/>
      <c r="L397" s="58"/>
    </row>
    <row r="398" ht="50.25" customHeight="1">
      <c r="A398" s="40"/>
      <c r="B398" s="44" t="str">
        <f t="shared" si="1"/>
        <v>CNT</v>
      </c>
      <c r="C398" s="46"/>
      <c r="D398" s="142"/>
      <c r="E398" s="146"/>
      <c r="F398" s="51"/>
      <c r="G398" s="52"/>
      <c r="H398" s="58"/>
      <c r="I398" s="54"/>
      <c r="J398" s="55"/>
      <c r="K398" s="58"/>
      <c r="L398" s="58"/>
    </row>
    <row r="399" ht="50.25" customHeight="1">
      <c r="A399" s="40"/>
      <c r="B399" s="44" t="str">
        <f t="shared" si="1"/>
        <v>CNT</v>
      </c>
      <c r="C399" s="46"/>
      <c r="D399" s="142"/>
      <c r="E399" s="146"/>
      <c r="F399" s="51"/>
      <c r="G399" s="52"/>
      <c r="H399" s="58"/>
      <c r="I399" s="54"/>
      <c r="J399" s="55"/>
      <c r="K399" s="58"/>
      <c r="L399" s="58"/>
    </row>
    <row r="400" ht="50.25" customHeight="1">
      <c r="A400" s="40"/>
      <c r="B400" s="44" t="str">
        <f t="shared" si="1"/>
        <v>CNT</v>
      </c>
      <c r="C400" s="46"/>
      <c r="D400" s="142"/>
      <c r="E400" s="146"/>
      <c r="F400" s="51"/>
      <c r="G400" s="52"/>
      <c r="H400" s="58"/>
      <c r="I400" s="54"/>
      <c r="J400" s="55"/>
      <c r="K400" s="58"/>
      <c r="L400" s="58"/>
    </row>
    <row r="401" ht="50.25" customHeight="1">
      <c r="A401" s="40"/>
      <c r="B401" s="44" t="str">
        <f t="shared" si="1"/>
        <v>CNT</v>
      </c>
      <c r="C401" s="46"/>
      <c r="D401" s="142"/>
      <c r="E401" s="146"/>
      <c r="F401" s="51"/>
      <c r="G401" s="52"/>
      <c r="H401" s="58"/>
      <c r="I401" s="54"/>
      <c r="J401" s="55"/>
      <c r="K401" s="58"/>
      <c r="L401" s="58"/>
    </row>
    <row r="402" ht="50.25" customHeight="1">
      <c r="A402" s="40"/>
      <c r="B402" s="44" t="str">
        <f t="shared" si="1"/>
        <v>CNT</v>
      </c>
      <c r="C402" s="46"/>
      <c r="D402" s="142"/>
      <c r="E402" s="146"/>
      <c r="F402" s="51"/>
      <c r="G402" s="52"/>
      <c r="H402" s="58"/>
      <c r="I402" s="54"/>
      <c r="J402" s="55"/>
      <c r="K402" s="58"/>
      <c r="L402" s="58"/>
    </row>
    <row r="403" ht="50.25" customHeight="1">
      <c r="A403" s="40"/>
      <c r="B403" s="44" t="str">
        <f t="shared" si="1"/>
        <v>CNT</v>
      </c>
      <c r="C403" s="46"/>
      <c r="D403" s="142"/>
      <c r="E403" s="146"/>
      <c r="F403" s="51"/>
      <c r="G403" s="52"/>
      <c r="H403" s="58"/>
      <c r="I403" s="54"/>
      <c r="J403" s="55"/>
      <c r="K403" s="58"/>
      <c r="L403" s="58"/>
    </row>
    <row r="404" ht="50.25" customHeight="1">
      <c r="A404" s="40"/>
      <c r="B404" s="44" t="str">
        <f t="shared" si="1"/>
        <v>CNT</v>
      </c>
      <c r="C404" s="46"/>
      <c r="D404" s="142"/>
      <c r="E404" s="146"/>
      <c r="F404" s="51"/>
      <c r="G404" s="52"/>
      <c r="H404" s="58"/>
      <c r="I404" s="54"/>
      <c r="J404" s="55"/>
      <c r="K404" s="58"/>
      <c r="L404" s="58"/>
    </row>
    <row r="405" ht="50.25" customHeight="1">
      <c r="A405" s="40"/>
      <c r="B405" s="44" t="str">
        <f t="shared" si="1"/>
        <v>CNT</v>
      </c>
      <c r="C405" s="46"/>
      <c r="D405" s="142"/>
      <c r="E405" s="146"/>
      <c r="F405" s="51"/>
      <c r="G405" s="52"/>
      <c r="H405" s="58"/>
      <c r="I405" s="54"/>
      <c r="J405" s="55"/>
      <c r="K405" s="58"/>
      <c r="L405" s="58"/>
    </row>
    <row r="406" ht="50.25" customHeight="1">
      <c r="A406" s="40"/>
      <c r="B406" s="44" t="str">
        <f t="shared" si="1"/>
        <v>CNT</v>
      </c>
      <c r="C406" s="46"/>
      <c r="D406" s="142"/>
      <c r="E406" s="146"/>
      <c r="F406" s="51"/>
      <c r="G406" s="52"/>
      <c r="H406" s="58"/>
      <c r="I406" s="54"/>
      <c r="J406" s="55"/>
      <c r="K406" s="58"/>
      <c r="L406" s="58"/>
    </row>
    <row r="407" ht="50.25" customHeight="1">
      <c r="A407" s="40"/>
      <c r="B407" s="44" t="str">
        <f t="shared" si="1"/>
        <v>CNT</v>
      </c>
      <c r="C407" s="46"/>
      <c r="D407" s="142"/>
      <c r="E407" s="146"/>
      <c r="F407" s="51"/>
      <c r="G407" s="52"/>
      <c r="H407" s="58"/>
      <c r="I407" s="54"/>
      <c r="J407" s="55"/>
      <c r="K407" s="58"/>
      <c r="L407" s="58"/>
    </row>
    <row r="408" ht="50.25" customHeight="1">
      <c r="A408" s="40"/>
      <c r="B408" s="44" t="str">
        <f t="shared" si="1"/>
        <v>CNT</v>
      </c>
      <c r="C408" s="46"/>
      <c r="D408" s="142"/>
      <c r="E408" s="146"/>
      <c r="F408" s="51"/>
      <c r="G408" s="52"/>
      <c r="H408" s="58"/>
      <c r="I408" s="54"/>
      <c r="J408" s="55"/>
      <c r="K408" s="58"/>
      <c r="L408" s="58"/>
    </row>
    <row r="409" ht="50.25" customHeight="1">
      <c r="A409" s="40"/>
      <c r="B409" s="44" t="str">
        <f t="shared" si="1"/>
        <v>CNT</v>
      </c>
      <c r="C409" s="46"/>
      <c r="D409" s="142"/>
      <c r="E409" s="146"/>
      <c r="F409" s="51"/>
      <c r="G409" s="52"/>
      <c r="H409" s="58"/>
      <c r="I409" s="54"/>
      <c r="J409" s="55"/>
      <c r="K409" s="58"/>
      <c r="L409" s="58"/>
    </row>
    <row r="410" ht="50.25" customHeight="1">
      <c r="A410" s="40"/>
      <c r="B410" s="44" t="str">
        <f t="shared" si="1"/>
        <v>CNT</v>
      </c>
      <c r="C410" s="46"/>
      <c r="D410" s="142"/>
      <c r="E410" s="146"/>
      <c r="F410" s="51"/>
      <c r="G410" s="52"/>
      <c r="H410" s="58"/>
      <c r="I410" s="54"/>
      <c r="J410" s="55"/>
      <c r="K410" s="58"/>
      <c r="L410" s="58"/>
    </row>
    <row r="411" ht="50.25" customHeight="1">
      <c r="A411" s="40"/>
      <c r="B411" s="44" t="str">
        <f t="shared" si="1"/>
        <v>CNT</v>
      </c>
      <c r="C411" s="46"/>
      <c r="D411" s="142"/>
      <c r="E411" s="146"/>
      <c r="F411" s="51"/>
      <c r="G411" s="52"/>
      <c r="H411" s="58"/>
      <c r="I411" s="54"/>
      <c r="J411" s="55"/>
      <c r="K411" s="58"/>
      <c r="L411" s="58"/>
    </row>
    <row r="412" ht="50.25" customHeight="1">
      <c r="A412" s="40"/>
      <c r="B412" s="44" t="str">
        <f t="shared" si="1"/>
        <v>CNT</v>
      </c>
      <c r="C412" s="46"/>
      <c r="D412" s="142"/>
      <c r="E412" s="146"/>
      <c r="F412" s="51"/>
      <c r="G412" s="52"/>
      <c r="H412" s="58"/>
      <c r="I412" s="54"/>
      <c r="J412" s="55"/>
      <c r="K412" s="58"/>
      <c r="L412" s="58"/>
    </row>
    <row r="413" ht="50.25" customHeight="1">
      <c r="A413" s="40"/>
      <c r="B413" s="44" t="str">
        <f t="shared" si="1"/>
        <v>CNT</v>
      </c>
      <c r="C413" s="46"/>
      <c r="D413" s="142"/>
      <c r="E413" s="146"/>
      <c r="F413" s="51"/>
      <c r="G413" s="52"/>
      <c r="H413" s="58"/>
      <c r="I413" s="54"/>
      <c r="J413" s="55"/>
      <c r="K413" s="58"/>
      <c r="L413" s="58"/>
    </row>
    <row r="414" ht="50.25" customHeight="1">
      <c r="A414" s="40"/>
      <c r="B414" s="44" t="str">
        <f t="shared" si="1"/>
        <v>CNT</v>
      </c>
      <c r="C414" s="46"/>
      <c r="D414" s="142"/>
      <c r="E414" s="146"/>
      <c r="F414" s="51"/>
      <c r="G414" s="52"/>
      <c r="H414" s="58"/>
      <c r="I414" s="54"/>
      <c r="J414" s="55"/>
      <c r="K414" s="58"/>
      <c r="L414" s="58"/>
    </row>
    <row r="415" ht="50.25" customHeight="1">
      <c r="A415" s="40"/>
      <c r="B415" s="44" t="str">
        <f t="shared" si="1"/>
        <v>CNT</v>
      </c>
      <c r="C415" s="46"/>
      <c r="D415" s="142"/>
      <c r="E415" s="146"/>
      <c r="F415" s="51"/>
      <c r="G415" s="52"/>
      <c r="H415" s="58"/>
      <c r="I415" s="54"/>
      <c r="J415" s="55"/>
      <c r="K415" s="58"/>
      <c r="L415" s="58"/>
    </row>
    <row r="416" ht="50.25" customHeight="1">
      <c r="A416" s="40"/>
      <c r="B416" s="44" t="str">
        <f t="shared" si="1"/>
        <v>CNT</v>
      </c>
      <c r="C416" s="46"/>
      <c r="D416" s="142"/>
      <c r="E416" s="146"/>
      <c r="F416" s="51"/>
      <c r="G416" s="52"/>
      <c r="H416" s="58"/>
      <c r="I416" s="54"/>
      <c r="J416" s="55"/>
      <c r="K416" s="58"/>
      <c r="L416" s="58"/>
    </row>
    <row r="417" ht="50.25" customHeight="1">
      <c r="A417" s="40"/>
      <c r="B417" s="44" t="str">
        <f t="shared" si="1"/>
        <v>CNT</v>
      </c>
      <c r="C417" s="46"/>
      <c r="D417" s="142"/>
      <c r="E417" s="146"/>
      <c r="F417" s="51"/>
      <c r="G417" s="52"/>
      <c r="H417" s="58"/>
      <c r="I417" s="54"/>
      <c r="J417" s="55"/>
      <c r="K417" s="58"/>
      <c r="L417" s="58"/>
    </row>
    <row r="418" ht="50.25" customHeight="1">
      <c r="A418" s="40"/>
      <c r="B418" s="44" t="str">
        <f t="shared" si="1"/>
        <v>CNT</v>
      </c>
      <c r="C418" s="46"/>
      <c r="D418" s="142"/>
      <c r="E418" s="146"/>
      <c r="F418" s="51"/>
      <c r="G418" s="52"/>
      <c r="H418" s="58"/>
      <c r="I418" s="54"/>
      <c r="J418" s="55"/>
      <c r="K418" s="58"/>
      <c r="L418" s="58"/>
    </row>
    <row r="419" ht="50.25" customHeight="1">
      <c r="A419" s="40"/>
      <c r="B419" s="44" t="str">
        <f t="shared" si="1"/>
        <v>CNT</v>
      </c>
      <c r="C419" s="46"/>
      <c r="D419" s="142"/>
      <c r="E419" s="146"/>
      <c r="F419" s="51"/>
      <c r="G419" s="52"/>
      <c r="H419" s="58"/>
      <c r="I419" s="54"/>
      <c r="J419" s="55"/>
      <c r="K419" s="58"/>
      <c r="L419" s="58"/>
    </row>
    <row r="420" ht="50.25" customHeight="1">
      <c r="A420" s="40"/>
      <c r="B420" s="44" t="str">
        <f t="shared" si="1"/>
        <v>CNT</v>
      </c>
      <c r="C420" s="46"/>
      <c r="D420" s="142"/>
      <c r="E420" s="146"/>
      <c r="F420" s="51"/>
      <c r="G420" s="52"/>
      <c r="H420" s="58"/>
      <c r="I420" s="54"/>
      <c r="J420" s="55"/>
      <c r="K420" s="58"/>
      <c r="L420" s="58"/>
    </row>
    <row r="421" ht="50.25" customHeight="1">
      <c r="A421" s="40"/>
      <c r="B421" s="44" t="str">
        <f t="shared" si="1"/>
        <v>CNT</v>
      </c>
      <c r="C421" s="46"/>
      <c r="D421" s="142"/>
      <c r="E421" s="146"/>
      <c r="F421" s="51"/>
      <c r="G421" s="52"/>
      <c r="H421" s="58"/>
      <c r="I421" s="54"/>
      <c r="J421" s="55"/>
      <c r="K421" s="58"/>
      <c r="L421" s="58"/>
    </row>
    <row r="422" ht="50.25" customHeight="1">
      <c r="A422" s="40"/>
      <c r="B422" s="44" t="str">
        <f t="shared" si="1"/>
        <v>CNT</v>
      </c>
      <c r="C422" s="46"/>
      <c r="D422" s="142"/>
      <c r="E422" s="146"/>
      <c r="F422" s="51"/>
      <c r="G422" s="52"/>
      <c r="H422" s="58"/>
      <c r="I422" s="54"/>
      <c r="J422" s="55"/>
      <c r="K422" s="58"/>
      <c r="L422" s="58"/>
    </row>
    <row r="423" ht="50.25" customHeight="1">
      <c r="A423" s="40"/>
      <c r="B423" s="44" t="str">
        <f t="shared" si="1"/>
        <v>CNT</v>
      </c>
      <c r="C423" s="46"/>
      <c r="D423" s="142"/>
      <c r="E423" s="146"/>
      <c r="F423" s="51"/>
      <c r="G423" s="52"/>
      <c r="H423" s="58"/>
      <c r="I423" s="54"/>
      <c r="J423" s="55"/>
      <c r="K423" s="58"/>
      <c r="L423" s="58"/>
    </row>
    <row r="424" ht="50.25" customHeight="1">
      <c r="A424" s="40"/>
      <c r="B424" s="44" t="str">
        <f t="shared" si="1"/>
        <v>CNT</v>
      </c>
      <c r="C424" s="46"/>
      <c r="D424" s="142"/>
      <c r="E424" s="146"/>
      <c r="F424" s="51"/>
      <c r="G424" s="52"/>
      <c r="H424" s="58"/>
      <c r="I424" s="54"/>
      <c r="J424" s="55"/>
      <c r="K424" s="58"/>
      <c r="L424" s="58"/>
    </row>
    <row r="425" ht="50.25" customHeight="1">
      <c r="A425" s="40"/>
      <c r="B425" s="44" t="str">
        <f t="shared" si="1"/>
        <v>CNT</v>
      </c>
      <c r="C425" s="46"/>
      <c r="D425" s="142"/>
      <c r="E425" s="146"/>
      <c r="F425" s="51"/>
      <c r="G425" s="52"/>
      <c r="H425" s="58"/>
      <c r="I425" s="54"/>
      <c r="J425" s="55"/>
      <c r="K425" s="58"/>
      <c r="L425" s="58"/>
    </row>
    <row r="426" ht="50.25" customHeight="1">
      <c r="A426" s="40"/>
      <c r="B426" s="44" t="str">
        <f t="shared" si="1"/>
        <v>CNT</v>
      </c>
      <c r="C426" s="46"/>
      <c r="D426" s="142"/>
      <c r="E426" s="146"/>
      <c r="F426" s="51"/>
      <c r="G426" s="52"/>
      <c r="H426" s="58"/>
      <c r="I426" s="54"/>
      <c r="J426" s="55"/>
      <c r="K426" s="58"/>
      <c r="L426" s="58"/>
    </row>
    <row r="427" ht="50.25" customHeight="1">
      <c r="A427" s="40"/>
      <c r="B427" s="44" t="str">
        <f t="shared" si="1"/>
        <v>CNT</v>
      </c>
      <c r="C427" s="46"/>
      <c r="D427" s="142"/>
      <c r="E427" s="146"/>
      <c r="F427" s="51"/>
      <c r="G427" s="52"/>
      <c r="H427" s="58"/>
      <c r="I427" s="54"/>
      <c r="J427" s="55"/>
      <c r="K427" s="58"/>
      <c r="L427" s="58"/>
    </row>
    <row r="428" ht="50.25" customHeight="1">
      <c r="A428" s="40"/>
      <c r="B428" s="44" t="str">
        <f t="shared" si="1"/>
        <v>CNT</v>
      </c>
      <c r="C428" s="46"/>
      <c r="D428" s="142"/>
      <c r="E428" s="146"/>
      <c r="F428" s="51"/>
      <c r="G428" s="52"/>
      <c r="H428" s="58"/>
      <c r="I428" s="54"/>
      <c r="J428" s="55"/>
      <c r="K428" s="58"/>
      <c r="L428" s="58"/>
    </row>
    <row r="429" ht="50.25" customHeight="1">
      <c r="A429" s="40"/>
      <c r="B429" s="44" t="str">
        <f t="shared" si="1"/>
        <v>CNT</v>
      </c>
      <c r="C429" s="46"/>
      <c r="D429" s="142"/>
      <c r="E429" s="146"/>
      <c r="F429" s="51"/>
      <c r="G429" s="52"/>
      <c r="H429" s="58"/>
      <c r="I429" s="54"/>
      <c r="J429" s="55"/>
      <c r="K429" s="58"/>
      <c r="L429" s="58"/>
    </row>
    <row r="430" ht="50.25" customHeight="1">
      <c r="A430" s="40"/>
      <c r="B430" s="44" t="str">
        <f t="shared" si="1"/>
        <v>CNT</v>
      </c>
      <c r="C430" s="46"/>
      <c r="D430" s="142"/>
      <c r="E430" s="146"/>
      <c r="F430" s="51"/>
      <c r="G430" s="52"/>
      <c r="H430" s="58"/>
      <c r="I430" s="54"/>
      <c r="J430" s="55"/>
      <c r="K430" s="58"/>
      <c r="L430" s="58"/>
    </row>
    <row r="431" ht="50.25" customHeight="1">
      <c r="A431" s="40"/>
      <c r="B431" s="44" t="str">
        <f t="shared" si="1"/>
        <v>CNT</v>
      </c>
      <c r="C431" s="46"/>
      <c r="D431" s="142"/>
      <c r="E431" s="146"/>
      <c r="F431" s="51"/>
      <c r="G431" s="52"/>
      <c r="H431" s="58"/>
      <c r="I431" s="54"/>
      <c r="J431" s="55"/>
      <c r="K431" s="58"/>
      <c r="L431" s="58"/>
    </row>
    <row r="432" ht="50.25" customHeight="1">
      <c r="A432" s="40"/>
      <c r="B432" s="44" t="str">
        <f t="shared" si="1"/>
        <v>CNT</v>
      </c>
      <c r="C432" s="46"/>
      <c r="D432" s="142"/>
      <c r="E432" s="146"/>
      <c r="F432" s="51"/>
      <c r="G432" s="52"/>
      <c r="H432" s="58"/>
      <c r="I432" s="54"/>
      <c r="J432" s="55"/>
      <c r="K432" s="58"/>
      <c r="L432" s="58"/>
    </row>
    <row r="433" ht="50.25" customHeight="1">
      <c r="A433" s="40"/>
      <c r="B433" s="44" t="str">
        <f t="shared" si="1"/>
        <v>CNT</v>
      </c>
      <c r="C433" s="46"/>
      <c r="D433" s="142"/>
      <c r="E433" s="146"/>
      <c r="F433" s="51"/>
      <c r="G433" s="52"/>
      <c r="H433" s="58"/>
      <c r="I433" s="54"/>
      <c r="J433" s="55"/>
      <c r="K433" s="58"/>
      <c r="L433" s="58"/>
    </row>
    <row r="434" ht="50.25" customHeight="1">
      <c r="A434" s="40"/>
      <c r="B434" s="44" t="str">
        <f t="shared" si="1"/>
        <v>CNT</v>
      </c>
      <c r="C434" s="46"/>
      <c r="D434" s="142"/>
      <c r="E434" s="146"/>
      <c r="F434" s="51"/>
      <c r="G434" s="52"/>
      <c r="H434" s="58"/>
      <c r="I434" s="54"/>
      <c r="J434" s="55"/>
      <c r="K434" s="58"/>
      <c r="L434" s="58"/>
    </row>
    <row r="435" ht="50.25" customHeight="1">
      <c r="A435" s="40"/>
      <c r="B435" s="44" t="str">
        <f t="shared" si="1"/>
        <v>CNT</v>
      </c>
      <c r="C435" s="46"/>
      <c r="D435" s="142"/>
      <c r="E435" s="146"/>
      <c r="F435" s="51"/>
      <c r="G435" s="52"/>
      <c r="H435" s="58"/>
      <c r="I435" s="54"/>
      <c r="J435" s="55"/>
      <c r="K435" s="58"/>
      <c r="L435" s="58"/>
    </row>
    <row r="436" ht="50.25" customHeight="1">
      <c r="A436" s="40"/>
      <c r="B436" s="44" t="str">
        <f t="shared" si="1"/>
        <v>CNT</v>
      </c>
      <c r="C436" s="46"/>
      <c r="D436" s="142"/>
      <c r="E436" s="146"/>
      <c r="F436" s="51"/>
      <c r="G436" s="52"/>
      <c r="H436" s="58"/>
      <c r="I436" s="54"/>
      <c r="J436" s="55"/>
      <c r="K436" s="58"/>
      <c r="L436" s="58"/>
    </row>
    <row r="437" ht="50.25" customHeight="1">
      <c r="A437" s="40"/>
      <c r="B437" s="44" t="str">
        <f t="shared" si="1"/>
        <v>CNT</v>
      </c>
      <c r="C437" s="46"/>
      <c r="D437" s="142"/>
      <c r="E437" s="146"/>
      <c r="F437" s="51"/>
      <c r="G437" s="52"/>
      <c r="H437" s="58"/>
      <c r="I437" s="54"/>
      <c r="J437" s="55"/>
      <c r="K437" s="58"/>
      <c r="L437" s="58"/>
    </row>
    <row r="438" ht="50.25" customHeight="1">
      <c r="A438" s="40"/>
      <c r="B438" s="44" t="str">
        <f t="shared" si="1"/>
        <v>CNT</v>
      </c>
      <c r="C438" s="46"/>
      <c r="D438" s="142"/>
      <c r="E438" s="146"/>
      <c r="F438" s="51"/>
      <c r="G438" s="52"/>
      <c r="H438" s="58"/>
      <c r="I438" s="54"/>
      <c r="J438" s="55"/>
      <c r="K438" s="58"/>
      <c r="L438" s="58"/>
    </row>
    <row r="439" ht="50.25" customHeight="1">
      <c r="A439" s="40"/>
      <c r="B439" s="44" t="str">
        <f t="shared" si="1"/>
        <v>CNT</v>
      </c>
      <c r="C439" s="46"/>
      <c r="D439" s="142"/>
      <c r="E439" s="146"/>
      <c r="F439" s="51"/>
      <c r="G439" s="52"/>
      <c r="H439" s="58"/>
      <c r="I439" s="54"/>
      <c r="J439" s="55"/>
      <c r="K439" s="58"/>
      <c r="L439" s="58"/>
    </row>
    <row r="440" ht="50.25" customHeight="1">
      <c r="A440" s="40"/>
      <c r="B440" s="44" t="str">
        <f t="shared" si="1"/>
        <v>CNT</v>
      </c>
      <c r="C440" s="46"/>
      <c r="D440" s="142"/>
      <c r="E440" s="146"/>
      <c r="F440" s="51"/>
      <c r="G440" s="52"/>
      <c r="H440" s="58"/>
      <c r="I440" s="54"/>
      <c r="J440" s="55"/>
      <c r="K440" s="58"/>
      <c r="L440" s="58"/>
    </row>
    <row r="441" ht="50.25" customHeight="1">
      <c r="A441" s="40"/>
      <c r="B441" s="44" t="str">
        <f t="shared" si="1"/>
        <v>CNT</v>
      </c>
      <c r="C441" s="46"/>
      <c r="D441" s="142"/>
      <c r="E441" s="146"/>
      <c r="F441" s="51"/>
      <c r="G441" s="52"/>
      <c r="H441" s="58"/>
      <c r="I441" s="54"/>
      <c r="J441" s="55"/>
      <c r="K441" s="58"/>
      <c r="L441" s="58"/>
    </row>
    <row r="442" ht="50.25" customHeight="1">
      <c r="A442" s="40"/>
      <c r="B442" s="44" t="str">
        <f t="shared" si="1"/>
        <v>CNT</v>
      </c>
      <c r="C442" s="46"/>
      <c r="D442" s="142"/>
      <c r="E442" s="146"/>
      <c r="F442" s="51"/>
      <c r="G442" s="52"/>
      <c r="H442" s="58"/>
      <c r="I442" s="54"/>
      <c r="J442" s="55"/>
      <c r="K442" s="58"/>
      <c r="L442" s="58"/>
    </row>
    <row r="443" ht="50.25" customHeight="1">
      <c r="A443" s="40"/>
      <c r="B443" s="44" t="str">
        <f t="shared" si="1"/>
        <v>CNT</v>
      </c>
      <c r="C443" s="46"/>
      <c r="D443" s="142"/>
      <c r="E443" s="146"/>
      <c r="F443" s="51"/>
      <c r="G443" s="52"/>
      <c r="H443" s="58"/>
      <c r="I443" s="54"/>
      <c r="J443" s="55"/>
      <c r="K443" s="58"/>
      <c r="L443" s="58"/>
    </row>
    <row r="444" ht="50.25" customHeight="1">
      <c r="A444" s="40"/>
      <c r="B444" s="44" t="str">
        <f t="shared" si="1"/>
        <v>CNT</v>
      </c>
      <c r="C444" s="46"/>
      <c r="D444" s="142"/>
      <c r="E444" s="146"/>
      <c r="F444" s="51"/>
      <c r="G444" s="52"/>
      <c r="H444" s="58"/>
      <c r="I444" s="54"/>
      <c r="J444" s="55"/>
      <c r="K444" s="58"/>
      <c r="L444" s="58"/>
    </row>
    <row r="445" ht="50.25" customHeight="1">
      <c r="A445" s="40"/>
      <c r="B445" s="44" t="str">
        <f t="shared" si="1"/>
        <v>CNT</v>
      </c>
      <c r="C445" s="46"/>
      <c r="D445" s="142"/>
      <c r="E445" s="146"/>
      <c r="F445" s="51"/>
      <c r="G445" s="52"/>
      <c r="H445" s="58"/>
      <c r="I445" s="54"/>
      <c r="J445" s="55"/>
      <c r="K445" s="58"/>
      <c r="L445" s="58"/>
    </row>
    <row r="446" ht="50.25" customHeight="1">
      <c r="A446" s="40"/>
      <c r="B446" s="44" t="str">
        <f t="shared" si="1"/>
        <v>CNT</v>
      </c>
      <c r="C446" s="46"/>
      <c r="D446" s="142"/>
      <c r="E446" s="146"/>
      <c r="F446" s="51"/>
      <c r="G446" s="52"/>
      <c r="H446" s="58"/>
      <c r="I446" s="54"/>
      <c r="J446" s="55"/>
      <c r="K446" s="58"/>
      <c r="L446" s="58"/>
    </row>
    <row r="447" ht="50.25" customHeight="1">
      <c r="A447" s="40"/>
      <c r="B447" s="44" t="str">
        <f t="shared" si="1"/>
        <v>CNT</v>
      </c>
      <c r="C447" s="46"/>
      <c r="D447" s="142"/>
      <c r="E447" s="146"/>
      <c r="F447" s="51"/>
      <c r="G447" s="52"/>
      <c r="H447" s="58"/>
      <c r="I447" s="54"/>
      <c r="J447" s="55"/>
      <c r="K447" s="58"/>
      <c r="L447" s="58"/>
    </row>
    <row r="448" ht="50.25" customHeight="1">
      <c r="A448" s="40"/>
      <c r="B448" s="44" t="str">
        <f t="shared" si="1"/>
        <v>CNT</v>
      </c>
      <c r="C448" s="46"/>
      <c r="D448" s="142"/>
      <c r="E448" s="146"/>
      <c r="F448" s="51"/>
      <c r="G448" s="52"/>
      <c r="H448" s="58"/>
      <c r="I448" s="54"/>
      <c r="J448" s="55"/>
      <c r="K448" s="58"/>
      <c r="L448" s="58"/>
    </row>
    <row r="449" ht="50.25" customHeight="1">
      <c r="A449" s="40"/>
      <c r="B449" s="44" t="str">
        <f t="shared" si="1"/>
        <v>CNT</v>
      </c>
      <c r="C449" s="46"/>
      <c r="D449" s="142"/>
      <c r="E449" s="146"/>
      <c r="F449" s="51"/>
      <c r="G449" s="52"/>
      <c r="H449" s="58"/>
      <c r="I449" s="54"/>
      <c r="J449" s="55"/>
      <c r="K449" s="58"/>
      <c r="L449" s="58"/>
    </row>
    <row r="450" ht="50.25" customHeight="1">
      <c r="A450" s="40"/>
      <c r="B450" s="44" t="str">
        <f t="shared" si="1"/>
        <v>CNT</v>
      </c>
      <c r="C450" s="46"/>
      <c r="D450" s="142"/>
      <c r="E450" s="146"/>
      <c r="F450" s="51"/>
      <c r="G450" s="52"/>
      <c r="H450" s="58"/>
      <c r="I450" s="54"/>
      <c r="J450" s="55"/>
      <c r="K450" s="58"/>
      <c r="L450" s="58"/>
    </row>
    <row r="451" ht="50.25" customHeight="1">
      <c r="A451" s="40"/>
      <c r="B451" s="44" t="str">
        <f t="shared" si="1"/>
        <v>CNT</v>
      </c>
      <c r="C451" s="46"/>
      <c r="D451" s="142"/>
      <c r="E451" s="146"/>
      <c r="F451" s="51"/>
      <c r="G451" s="52"/>
      <c r="H451" s="58"/>
      <c r="I451" s="54"/>
      <c r="J451" s="55"/>
      <c r="K451" s="58"/>
      <c r="L451" s="58"/>
    </row>
    <row r="452" ht="50.25" customHeight="1">
      <c r="A452" s="40"/>
      <c r="B452" s="44" t="str">
        <f t="shared" si="1"/>
        <v>CNT</v>
      </c>
      <c r="C452" s="46"/>
      <c r="D452" s="142"/>
      <c r="E452" s="146"/>
      <c r="F452" s="51"/>
      <c r="G452" s="52"/>
      <c r="H452" s="58"/>
      <c r="I452" s="54"/>
      <c r="J452" s="55"/>
      <c r="K452" s="58"/>
      <c r="L452" s="58"/>
    </row>
    <row r="453" ht="50.25" customHeight="1">
      <c r="A453" s="40"/>
      <c r="B453" s="44" t="str">
        <f t="shared" si="1"/>
        <v>CNT</v>
      </c>
      <c r="C453" s="46"/>
      <c r="D453" s="142"/>
      <c r="E453" s="146"/>
      <c r="F453" s="51"/>
      <c r="G453" s="52"/>
      <c r="H453" s="58"/>
      <c r="I453" s="54"/>
      <c r="J453" s="55"/>
      <c r="K453" s="58"/>
      <c r="L453" s="58"/>
    </row>
    <row r="454" ht="50.25" customHeight="1">
      <c r="A454" s="40"/>
      <c r="B454" s="44" t="str">
        <f t="shared" si="1"/>
        <v>CNT</v>
      </c>
      <c r="C454" s="46"/>
      <c r="D454" s="142"/>
      <c r="E454" s="146"/>
      <c r="F454" s="51"/>
      <c r="G454" s="52"/>
      <c r="H454" s="58"/>
      <c r="I454" s="54"/>
      <c r="J454" s="55"/>
      <c r="K454" s="58"/>
      <c r="L454" s="58"/>
    </row>
    <row r="455" ht="50.25" customHeight="1">
      <c r="A455" s="40"/>
      <c r="B455" s="44" t="str">
        <f t="shared" si="1"/>
        <v>CNT</v>
      </c>
      <c r="C455" s="46"/>
      <c r="D455" s="142"/>
      <c r="E455" s="146"/>
      <c r="F455" s="51"/>
      <c r="G455" s="52"/>
      <c r="H455" s="58"/>
      <c r="I455" s="54"/>
      <c r="J455" s="55"/>
      <c r="K455" s="58"/>
      <c r="L455" s="58"/>
    </row>
    <row r="456" ht="50.25" customHeight="1">
      <c r="A456" s="40"/>
      <c r="B456" s="44" t="str">
        <f t="shared" si="1"/>
        <v>CNT</v>
      </c>
      <c r="C456" s="46"/>
      <c r="D456" s="142"/>
      <c r="E456" s="146"/>
      <c r="F456" s="51"/>
      <c r="G456" s="52"/>
      <c r="H456" s="58"/>
      <c r="I456" s="54"/>
      <c r="J456" s="55"/>
      <c r="K456" s="58"/>
      <c r="L456" s="58"/>
    </row>
    <row r="457" ht="50.25" customHeight="1">
      <c r="A457" s="40"/>
      <c r="B457" s="44" t="str">
        <f t="shared" si="1"/>
        <v>CNT</v>
      </c>
      <c r="C457" s="46"/>
      <c r="D457" s="142"/>
      <c r="E457" s="146"/>
      <c r="F457" s="51"/>
      <c r="G457" s="52"/>
      <c r="H457" s="58"/>
      <c r="I457" s="54"/>
      <c r="J457" s="55"/>
      <c r="K457" s="58"/>
      <c r="L457" s="58"/>
    </row>
    <row r="458" ht="50.25" customHeight="1">
      <c r="A458" s="40"/>
      <c r="B458" s="44" t="str">
        <f t="shared" si="1"/>
        <v>CNT</v>
      </c>
      <c r="C458" s="46"/>
      <c r="D458" s="142"/>
      <c r="E458" s="146"/>
      <c r="F458" s="51"/>
      <c r="G458" s="52"/>
      <c r="H458" s="58"/>
      <c r="I458" s="54"/>
      <c r="J458" s="55"/>
      <c r="K458" s="58"/>
      <c r="L458" s="58"/>
    </row>
    <row r="459" ht="50.25" customHeight="1">
      <c r="A459" s="40"/>
      <c r="B459" s="44" t="str">
        <f t="shared" si="1"/>
        <v>CNT</v>
      </c>
      <c r="C459" s="46"/>
      <c r="D459" s="142"/>
      <c r="E459" s="146"/>
      <c r="F459" s="51"/>
      <c r="G459" s="52"/>
      <c r="H459" s="58"/>
      <c r="I459" s="54"/>
      <c r="J459" s="55"/>
      <c r="K459" s="58"/>
      <c r="L459" s="58"/>
    </row>
    <row r="460" ht="50.25" customHeight="1">
      <c r="A460" s="40"/>
      <c r="B460" s="44" t="str">
        <f t="shared" si="1"/>
        <v>CNT</v>
      </c>
      <c r="C460" s="46"/>
      <c r="D460" s="142"/>
      <c r="E460" s="146"/>
      <c r="F460" s="51"/>
      <c r="G460" s="52"/>
      <c r="H460" s="58"/>
      <c r="I460" s="54"/>
      <c r="J460" s="55"/>
      <c r="K460" s="58"/>
      <c r="L460" s="58"/>
    </row>
    <row r="461" ht="50.25" customHeight="1">
      <c r="A461" s="40"/>
      <c r="B461" s="44" t="str">
        <f t="shared" si="1"/>
        <v>CNT</v>
      </c>
      <c r="C461" s="46"/>
      <c r="D461" s="142"/>
      <c r="E461" s="146"/>
      <c r="F461" s="51"/>
      <c r="G461" s="52"/>
      <c r="H461" s="58"/>
      <c r="I461" s="54"/>
      <c r="J461" s="55"/>
      <c r="K461" s="58"/>
      <c r="L461" s="58"/>
    </row>
    <row r="462" ht="50.25" customHeight="1">
      <c r="A462" s="40"/>
      <c r="B462" s="44" t="str">
        <f t="shared" si="1"/>
        <v>CNT</v>
      </c>
      <c r="C462" s="46"/>
      <c r="D462" s="142"/>
      <c r="E462" s="146"/>
      <c r="F462" s="51"/>
      <c r="G462" s="52"/>
      <c r="H462" s="58"/>
      <c r="I462" s="54"/>
      <c r="J462" s="55"/>
      <c r="K462" s="58"/>
      <c r="L462" s="58"/>
    </row>
    <row r="463" ht="50.25" customHeight="1">
      <c r="A463" s="40"/>
      <c r="B463" s="44" t="str">
        <f t="shared" si="1"/>
        <v>CNT</v>
      </c>
      <c r="C463" s="46"/>
      <c r="D463" s="142"/>
      <c r="E463" s="146"/>
      <c r="F463" s="51"/>
      <c r="G463" s="52"/>
      <c r="H463" s="58"/>
      <c r="I463" s="54"/>
      <c r="J463" s="55"/>
      <c r="K463" s="58"/>
      <c r="L463" s="58"/>
    </row>
    <row r="464" ht="50.25" customHeight="1">
      <c r="A464" s="40"/>
      <c r="B464" s="44" t="str">
        <f t="shared" si="1"/>
        <v>CNT</v>
      </c>
      <c r="C464" s="46"/>
      <c r="D464" s="142"/>
      <c r="E464" s="146"/>
      <c r="F464" s="51"/>
      <c r="G464" s="52"/>
      <c r="H464" s="58"/>
      <c r="I464" s="54"/>
      <c r="J464" s="55"/>
      <c r="K464" s="58"/>
      <c r="L464" s="58"/>
    </row>
    <row r="465" ht="50.25" customHeight="1">
      <c r="A465" s="40"/>
      <c r="B465" s="44" t="str">
        <f t="shared" si="1"/>
        <v>CNT</v>
      </c>
      <c r="C465" s="46"/>
      <c r="D465" s="142"/>
      <c r="E465" s="146"/>
      <c r="F465" s="51"/>
      <c r="G465" s="52"/>
      <c r="H465" s="58"/>
      <c r="I465" s="54"/>
      <c r="J465" s="55"/>
      <c r="K465" s="58"/>
      <c r="L465" s="58"/>
    </row>
    <row r="466" ht="50.25" customHeight="1">
      <c r="A466" s="40"/>
      <c r="B466" s="44" t="str">
        <f t="shared" si="1"/>
        <v>CNT</v>
      </c>
      <c r="C466" s="46"/>
      <c r="D466" s="142"/>
      <c r="E466" s="146"/>
      <c r="F466" s="51"/>
      <c r="G466" s="52"/>
      <c r="H466" s="58"/>
      <c r="I466" s="54"/>
      <c r="J466" s="55"/>
      <c r="K466" s="58"/>
      <c r="L466" s="58"/>
    </row>
    <row r="467" ht="50.25" customHeight="1">
      <c r="A467" s="40"/>
      <c r="B467" s="44" t="str">
        <f t="shared" si="1"/>
        <v>CNT</v>
      </c>
      <c r="C467" s="46"/>
      <c r="D467" s="142"/>
      <c r="E467" s="146"/>
      <c r="F467" s="51"/>
      <c r="G467" s="52"/>
      <c r="H467" s="58"/>
      <c r="I467" s="54"/>
      <c r="J467" s="55"/>
      <c r="K467" s="58"/>
      <c r="L467" s="58"/>
    </row>
    <row r="468" ht="50.25" customHeight="1">
      <c r="A468" s="40"/>
      <c r="B468" s="44" t="str">
        <f t="shared" si="1"/>
        <v>CNT</v>
      </c>
      <c r="C468" s="46"/>
      <c r="D468" s="142"/>
      <c r="E468" s="146"/>
      <c r="F468" s="51"/>
      <c r="G468" s="52"/>
      <c r="H468" s="58"/>
      <c r="I468" s="54"/>
      <c r="J468" s="55"/>
      <c r="K468" s="58"/>
      <c r="L468" s="58"/>
    </row>
    <row r="469" ht="50.25" customHeight="1">
      <c r="A469" s="40"/>
      <c r="B469" s="44" t="str">
        <f t="shared" si="1"/>
        <v>CNT</v>
      </c>
      <c r="C469" s="46"/>
      <c r="D469" s="142"/>
      <c r="E469" s="146"/>
      <c r="F469" s="51"/>
      <c r="G469" s="52"/>
      <c r="H469" s="58"/>
      <c r="I469" s="54"/>
      <c r="J469" s="55"/>
      <c r="K469" s="58"/>
      <c r="L469" s="58"/>
    </row>
    <row r="470" ht="50.25" customHeight="1">
      <c r="A470" s="40"/>
      <c r="B470" s="44" t="str">
        <f t="shared" si="1"/>
        <v>CNT</v>
      </c>
      <c r="C470" s="46"/>
      <c r="D470" s="142"/>
      <c r="E470" s="146"/>
      <c r="F470" s="51"/>
      <c r="G470" s="52"/>
      <c r="H470" s="58"/>
      <c r="I470" s="54"/>
      <c r="J470" s="55"/>
      <c r="K470" s="58"/>
      <c r="L470" s="58"/>
    </row>
    <row r="471" ht="50.25" customHeight="1">
      <c r="A471" s="40"/>
      <c r="B471" s="44" t="str">
        <f t="shared" si="1"/>
        <v>CNT</v>
      </c>
      <c r="C471" s="46"/>
      <c r="D471" s="142"/>
      <c r="E471" s="146"/>
      <c r="F471" s="51"/>
      <c r="G471" s="52"/>
      <c r="H471" s="58"/>
      <c r="I471" s="54"/>
      <c r="J471" s="55"/>
      <c r="K471" s="58"/>
      <c r="L471" s="58"/>
    </row>
    <row r="472" ht="50.25" customHeight="1">
      <c r="A472" s="40"/>
      <c r="B472" s="44" t="str">
        <f t="shared" si="1"/>
        <v>CNT</v>
      </c>
      <c r="C472" s="46"/>
      <c r="D472" s="142"/>
      <c r="E472" s="146"/>
      <c r="F472" s="51"/>
      <c r="G472" s="52"/>
      <c r="H472" s="58"/>
      <c r="I472" s="54"/>
      <c r="J472" s="55"/>
      <c r="K472" s="58"/>
      <c r="L472" s="58"/>
    </row>
    <row r="473" ht="50.25" customHeight="1">
      <c r="A473" s="40"/>
      <c r="B473" s="44" t="str">
        <f t="shared" si="1"/>
        <v>CNT</v>
      </c>
      <c r="C473" s="46"/>
      <c r="D473" s="142"/>
      <c r="E473" s="146"/>
      <c r="F473" s="51"/>
      <c r="G473" s="52"/>
      <c r="H473" s="58"/>
      <c r="I473" s="54"/>
      <c r="J473" s="55"/>
      <c r="K473" s="58"/>
      <c r="L473" s="58"/>
    </row>
    <row r="474" ht="50.25" customHeight="1">
      <c r="A474" s="40"/>
      <c r="B474" s="44" t="str">
        <f t="shared" si="1"/>
        <v>CNT</v>
      </c>
      <c r="C474" s="46"/>
      <c r="D474" s="142"/>
      <c r="E474" s="146"/>
      <c r="F474" s="51"/>
      <c r="G474" s="52"/>
      <c r="H474" s="58"/>
      <c r="I474" s="54"/>
      <c r="J474" s="55"/>
      <c r="K474" s="58"/>
      <c r="L474" s="58"/>
    </row>
    <row r="475" ht="50.25" customHeight="1">
      <c r="A475" s="40"/>
      <c r="B475" s="44" t="str">
        <f t="shared" si="1"/>
        <v>CNT</v>
      </c>
      <c r="C475" s="46"/>
      <c r="D475" s="142"/>
      <c r="E475" s="146"/>
      <c r="F475" s="51"/>
      <c r="G475" s="52"/>
      <c r="H475" s="58"/>
      <c r="I475" s="54"/>
      <c r="J475" s="55"/>
      <c r="K475" s="58"/>
      <c r="L475" s="58"/>
    </row>
    <row r="476" ht="50.25" customHeight="1">
      <c r="A476" s="40"/>
      <c r="B476" s="44" t="str">
        <f t="shared" si="1"/>
        <v>CNT</v>
      </c>
      <c r="C476" s="46"/>
      <c r="D476" s="142"/>
      <c r="E476" s="146"/>
      <c r="F476" s="51"/>
      <c r="G476" s="52"/>
      <c r="H476" s="58"/>
      <c r="I476" s="54"/>
      <c r="J476" s="55"/>
      <c r="K476" s="58"/>
      <c r="L476" s="58"/>
    </row>
    <row r="477" ht="50.25" customHeight="1">
      <c r="A477" s="40"/>
      <c r="B477" s="44" t="str">
        <f t="shared" si="1"/>
        <v>CNT</v>
      </c>
      <c r="C477" s="46"/>
      <c r="D477" s="142"/>
      <c r="E477" s="146"/>
      <c r="F477" s="51"/>
      <c r="G477" s="52"/>
      <c r="H477" s="58"/>
      <c r="I477" s="54"/>
      <c r="J477" s="55"/>
      <c r="K477" s="58"/>
      <c r="L477" s="58"/>
    </row>
    <row r="478" ht="50.25" customHeight="1">
      <c r="A478" s="40"/>
      <c r="B478" s="44" t="str">
        <f t="shared" si="1"/>
        <v>CNT</v>
      </c>
      <c r="C478" s="46"/>
      <c r="D478" s="142"/>
      <c r="E478" s="146"/>
      <c r="F478" s="51"/>
      <c r="G478" s="52"/>
      <c r="H478" s="58"/>
      <c r="I478" s="54"/>
      <c r="J478" s="55"/>
      <c r="K478" s="58"/>
      <c r="L478" s="58"/>
    </row>
    <row r="479" ht="50.25" customHeight="1">
      <c r="A479" s="40"/>
      <c r="B479" s="44" t="str">
        <f t="shared" si="1"/>
        <v>CNT</v>
      </c>
      <c r="C479" s="46"/>
      <c r="D479" s="142"/>
      <c r="E479" s="146"/>
      <c r="F479" s="51"/>
      <c r="G479" s="52"/>
      <c r="H479" s="58"/>
      <c r="I479" s="54"/>
      <c r="J479" s="55"/>
      <c r="K479" s="58"/>
      <c r="L479" s="58"/>
    </row>
    <row r="480" ht="50.25" customHeight="1">
      <c r="A480" s="40"/>
      <c r="B480" s="44" t="str">
        <f t="shared" si="1"/>
        <v>CNT</v>
      </c>
      <c r="C480" s="46"/>
      <c r="D480" s="142"/>
      <c r="E480" s="146"/>
      <c r="F480" s="51"/>
      <c r="G480" s="52"/>
      <c r="H480" s="58"/>
      <c r="I480" s="54"/>
      <c r="J480" s="55"/>
      <c r="K480" s="58"/>
      <c r="L480" s="58"/>
    </row>
    <row r="481" ht="50.25" customHeight="1">
      <c r="A481" s="40"/>
      <c r="B481" s="44" t="str">
        <f t="shared" si="1"/>
        <v>CNT</v>
      </c>
      <c r="C481" s="46"/>
      <c r="D481" s="142"/>
      <c r="E481" s="146"/>
      <c r="F481" s="51"/>
      <c r="G481" s="52"/>
      <c r="H481" s="58"/>
      <c r="I481" s="54"/>
      <c r="J481" s="55"/>
      <c r="K481" s="58"/>
      <c r="L481" s="58"/>
    </row>
    <row r="482" ht="50.25" customHeight="1">
      <c r="A482" s="40"/>
      <c r="B482" s="44" t="str">
        <f t="shared" si="1"/>
        <v>CNT</v>
      </c>
      <c r="C482" s="46"/>
      <c r="D482" s="142"/>
      <c r="E482" s="146"/>
      <c r="F482" s="51"/>
      <c r="G482" s="52"/>
      <c r="H482" s="58"/>
      <c r="I482" s="54"/>
      <c r="J482" s="55"/>
      <c r="K482" s="58"/>
      <c r="L482" s="58"/>
    </row>
    <row r="483" ht="50.25" customHeight="1">
      <c r="A483" s="40"/>
      <c r="B483" s="44" t="str">
        <f t="shared" si="1"/>
        <v>CNT</v>
      </c>
      <c r="C483" s="46"/>
      <c r="D483" s="142"/>
      <c r="E483" s="146"/>
      <c r="F483" s="51"/>
      <c r="G483" s="52"/>
      <c r="H483" s="58"/>
      <c r="I483" s="54"/>
      <c r="J483" s="55"/>
      <c r="K483" s="58"/>
      <c r="L483" s="58"/>
    </row>
    <row r="484" ht="50.25" customHeight="1">
      <c r="A484" s="40"/>
      <c r="B484" s="44" t="str">
        <f t="shared" si="1"/>
        <v>CNT</v>
      </c>
      <c r="C484" s="46"/>
      <c r="D484" s="142"/>
      <c r="E484" s="146"/>
      <c r="F484" s="51"/>
      <c r="G484" s="52"/>
      <c r="H484" s="58"/>
      <c r="I484" s="54"/>
      <c r="J484" s="55"/>
      <c r="K484" s="58"/>
      <c r="L484" s="58"/>
    </row>
    <row r="485" ht="50.25" customHeight="1">
      <c r="A485" s="40"/>
      <c r="B485" s="44" t="str">
        <f t="shared" si="1"/>
        <v>CNT</v>
      </c>
      <c r="C485" s="46"/>
      <c r="D485" s="142"/>
      <c r="E485" s="146"/>
      <c r="F485" s="51"/>
      <c r="G485" s="52"/>
      <c r="H485" s="58"/>
      <c r="I485" s="54"/>
      <c r="J485" s="55"/>
      <c r="K485" s="58"/>
      <c r="L485" s="58"/>
    </row>
    <row r="486" ht="50.25" customHeight="1">
      <c r="A486" s="40"/>
      <c r="B486" s="44" t="str">
        <f t="shared" si="1"/>
        <v>CNT</v>
      </c>
      <c r="C486" s="46"/>
      <c r="D486" s="142"/>
      <c r="E486" s="146"/>
      <c r="F486" s="51"/>
      <c r="G486" s="52"/>
      <c r="H486" s="58"/>
      <c r="I486" s="54"/>
      <c r="J486" s="55"/>
      <c r="K486" s="58"/>
      <c r="L486" s="58"/>
    </row>
    <row r="487" ht="50.25" customHeight="1">
      <c r="A487" s="40"/>
      <c r="B487" s="44" t="str">
        <f t="shared" si="1"/>
        <v>CNT</v>
      </c>
      <c r="C487" s="46"/>
      <c r="D487" s="142"/>
      <c r="E487" s="146"/>
      <c r="F487" s="51"/>
      <c r="G487" s="52"/>
      <c r="H487" s="58"/>
      <c r="I487" s="54"/>
      <c r="J487" s="55"/>
      <c r="K487" s="58"/>
      <c r="L487" s="58"/>
    </row>
    <row r="488" ht="50.25" customHeight="1">
      <c r="A488" s="40"/>
      <c r="B488" s="44" t="str">
        <f t="shared" si="1"/>
        <v>CNT</v>
      </c>
      <c r="C488" s="46"/>
      <c r="D488" s="142"/>
      <c r="E488" s="146"/>
      <c r="F488" s="51"/>
      <c r="G488" s="52"/>
      <c r="H488" s="58"/>
      <c r="I488" s="54"/>
      <c r="J488" s="55"/>
      <c r="K488" s="58"/>
      <c r="L488" s="58"/>
    </row>
    <row r="489" ht="50.25" customHeight="1">
      <c r="A489" s="40"/>
      <c r="B489" s="44" t="str">
        <f t="shared" si="1"/>
        <v>CNT</v>
      </c>
      <c r="C489" s="46"/>
      <c r="D489" s="142"/>
      <c r="E489" s="146"/>
      <c r="F489" s="51"/>
      <c r="G489" s="52"/>
      <c r="H489" s="58"/>
      <c r="I489" s="54"/>
      <c r="J489" s="55"/>
      <c r="K489" s="58"/>
      <c r="L489" s="58"/>
    </row>
    <row r="490" ht="50.25" customHeight="1">
      <c r="A490" s="40"/>
      <c r="B490" s="44" t="str">
        <f t="shared" si="1"/>
        <v>CNT</v>
      </c>
      <c r="C490" s="46"/>
      <c r="D490" s="142"/>
      <c r="E490" s="146"/>
      <c r="F490" s="51"/>
      <c r="G490" s="52"/>
      <c r="H490" s="58"/>
      <c r="I490" s="54"/>
      <c r="J490" s="55"/>
      <c r="K490" s="58"/>
      <c r="L490" s="58"/>
    </row>
    <row r="491" ht="50.25" customHeight="1">
      <c r="A491" s="40"/>
      <c r="B491" s="44" t="str">
        <f t="shared" si="1"/>
        <v>CNT</v>
      </c>
      <c r="C491" s="46"/>
      <c r="D491" s="142"/>
      <c r="E491" s="146"/>
      <c r="F491" s="51"/>
      <c r="G491" s="52"/>
      <c r="H491" s="58"/>
      <c r="I491" s="54"/>
      <c r="J491" s="55"/>
      <c r="K491" s="58"/>
      <c r="L491" s="58"/>
    </row>
    <row r="492" ht="50.25" customHeight="1">
      <c r="A492" s="40"/>
      <c r="B492" s="44" t="str">
        <f t="shared" si="1"/>
        <v>CNT</v>
      </c>
      <c r="C492" s="46"/>
      <c r="D492" s="142"/>
      <c r="E492" s="146"/>
      <c r="F492" s="51"/>
      <c r="G492" s="52"/>
      <c r="H492" s="58"/>
      <c r="I492" s="54"/>
      <c r="J492" s="55"/>
      <c r="K492" s="58"/>
      <c r="L492" s="58"/>
    </row>
    <row r="493" ht="50.25" customHeight="1">
      <c r="A493" s="40"/>
      <c r="B493" s="44" t="str">
        <f t="shared" si="1"/>
        <v>CNT</v>
      </c>
      <c r="C493" s="46"/>
      <c r="D493" s="142"/>
      <c r="E493" s="146"/>
      <c r="F493" s="51"/>
      <c r="G493" s="52"/>
      <c r="H493" s="58"/>
      <c r="I493" s="54"/>
      <c r="J493" s="55"/>
      <c r="K493" s="58"/>
      <c r="L493" s="58"/>
    </row>
    <row r="494" ht="50.25" customHeight="1">
      <c r="A494" s="40"/>
      <c r="B494" s="44" t="str">
        <f t="shared" si="1"/>
        <v>CNT</v>
      </c>
      <c r="C494" s="46"/>
      <c r="D494" s="142"/>
      <c r="E494" s="146"/>
      <c r="F494" s="51"/>
      <c r="G494" s="52"/>
      <c r="H494" s="58"/>
      <c r="I494" s="54"/>
      <c r="J494" s="55"/>
      <c r="K494" s="58"/>
      <c r="L494" s="58"/>
    </row>
    <row r="495" ht="50.25" customHeight="1">
      <c r="A495" s="40"/>
      <c r="B495" s="44" t="str">
        <f t="shared" si="1"/>
        <v>CNT</v>
      </c>
      <c r="C495" s="46"/>
      <c r="D495" s="142"/>
      <c r="E495" s="146"/>
      <c r="F495" s="51"/>
      <c r="G495" s="52"/>
      <c r="H495" s="58"/>
      <c r="I495" s="54"/>
      <c r="J495" s="55"/>
      <c r="K495" s="58"/>
      <c r="L495" s="58"/>
    </row>
    <row r="496" ht="50.25" customHeight="1">
      <c r="A496" s="40"/>
      <c r="B496" s="44" t="str">
        <f t="shared" si="1"/>
        <v>CNT</v>
      </c>
      <c r="C496" s="46"/>
      <c r="D496" s="142"/>
      <c r="E496" s="146"/>
      <c r="F496" s="51"/>
      <c r="G496" s="52"/>
      <c r="H496" s="58"/>
      <c r="I496" s="54"/>
      <c r="J496" s="55"/>
      <c r="K496" s="58"/>
      <c r="L496" s="58"/>
    </row>
    <row r="497" ht="50.25" customHeight="1">
      <c r="A497" s="40"/>
      <c r="B497" s="44" t="str">
        <f t="shared" si="1"/>
        <v>CNT</v>
      </c>
      <c r="C497" s="46"/>
      <c r="D497" s="142"/>
      <c r="E497" s="146"/>
      <c r="F497" s="51"/>
      <c r="G497" s="52"/>
      <c r="H497" s="58"/>
      <c r="I497" s="54"/>
      <c r="J497" s="55"/>
      <c r="K497" s="58"/>
      <c r="L497" s="58"/>
    </row>
    <row r="498" ht="50.25" customHeight="1">
      <c r="A498" s="40"/>
      <c r="B498" s="44" t="str">
        <f t="shared" si="1"/>
        <v>CNT</v>
      </c>
      <c r="C498" s="46"/>
      <c r="D498" s="142"/>
      <c r="E498" s="146"/>
      <c r="F498" s="51"/>
      <c r="G498" s="52"/>
      <c r="H498" s="58"/>
      <c r="I498" s="54"/>
      <c r="J498" s="55"/>
      <c r="K498" s="58"/>
      <c r="L498" s="58"/>
    </row>
    <row r="499" ht="50.25" customHeight="1">
      <c r="A499" s="40"/>
      <c r="B499" s="44" t="str">
        <f t="shared" si="1"/>
        <v>CNT</v>
      </c>
      <c r="C499" s="46"/>
      <c r="D499" s="142"/>
      <c r="E499" s="146"/>
      <c r="F499" s="51"/>
      <c r="G499" s="52"/>
      <c r="H499" s="58"/>
      <c r="I499" s="54"/>
      <c r="J499" s="55"/>
      <c r="K499" s="58"/>
      <c r="L499" s="58"/>
    </row>
    <row r="500" ht="50.25" customHeight="1">
      <c r="A500" s="40"/>
      <c r="B500" s="44" t="str">
        <f t="shared" si="1"/>
        <v>CNT</v>
      </c>
      <c r="C500" s="46"/>
      <c r="D500" s="142"/>
      <c r="E500" s="146"/>
      <c r="F500" s="51"/>
      <c r="G500" s="52"/>
      <c r="H500" s="58"/>
      <c r="I500" s="54"/>
      <c r="J500" s="55"/>
      <c r="K500" s="58"/>
      <c r="L500" s="58"/>
    </row>
    <row r="501" ht="50.25" customHeight="1">
      <c r="A501" s="40"/>
      <c r="B501" s="44" t="str">
        <f t="shared" si="1"/>
        <v>CNT</v>
      </c>
      <c r="C501" s="46"/>
      <c r="D501" s="142"/>
      <c r="E501" s="146"/>
      <c r="F501" s="51"/>
      <c r="G501" s="52"/>
      <c r="H501" s="58"/>
      <c r="I501" s="54"/>
      <c r="J501" s="55"/>
      <c r="K501" s="58"/>
      <c r="L501" s="58"/>
    </row>
    <row r="502" ht="50.25" customHeight="1">
      <c r="A502" s="40"/>
      <c r="B502" s="44" t="str">
        <f t="shared" si="1"/>
        <v>CNT</v>
      </c>
      <c r="C502" s="46"/>
      <c r="D502" s="142"/>
      <c r="E502" s="146"/>
      <c r="F502" s="51"/>
      <c r="G502" s="52"/>
      <c r="H502" s="58"/>
      <c r="I502" s="54"/>
      <c r="J502" s="55"/>
      <c r="K502" s="58"/>
      <c r="L502" s="58"/>
    </row>
    <row r="503" ht="50.25" customHeight="1">
      <c r="A503" s="40"/>
      <c r="B503" s="44" t="str">
        <f t="shared" si="1"/>
        <v>CNT</v>
      </c>
      <c r="C503" s="46"/>
      <c r="D503" s="142"/>
      <c r="E503" s="146"/>
      <c r="F503" s="51"/>
      <c r="G503" s="52"/>
      <c r="H503" s="58"/>
      <c r="I503" s="54"/>
      <c r="J503" s="55"/>
      <c r="K503" s="58"/>
      <c r="L503" s="58"/>
    </row>
    <row r="504" ht="50.25" customHeight="1">
      <c r="A504" s="40"/>
      <c r="B504" s="44" t="str">
        <f t="shared" si="1"/>
        <v>CNT</v>
      </c>
      <c r="C504" s="46"/>
      <c r="D504" s="142"/>
      <c r="E504" s="146"/>
      <c r="F504" s="51"/>
      <c r="G504" s="52"/>
      <c r="H504" s="58"/>
      <c r="I504" s="54"/>
      <c r="J504" s="55"/>
      <c r="K504" s="58"/>
      <c r="L504" s="58"/>
    </row>
    <row r="505" ht="50.25" customHeight="1">
      <c r="A505" s="40"/>
      <c r="B505" s="44" t="str">
        <f t="shared" si="1"/>
        <v>CNT</v>
      </c>
      <c r="C505" s="46"/>
      <c r="D505" s="142"/>
      <c r="E505" s="146"/>
      <c r="F505" s="51"/>
      <c r="G505" s="52"/>
      <c r="H505" s="58"/>
      <c r="I505" s="54"/>
      <c r="J505" s="55"/>
      <c r="K505" s="58"/>
      <c r="L505" s="58"/>
    </row>
    <row r="506" ht="50.25" customHeight="1">
      <c r="A506" s="40"/>
      <c r="B506" s="44" t="str">
        <f t="shared" si="1"/>
        <v>CNT</v>
      </c>
      <c r="C506" s="46"/>
      <c r="D506" s="142"/>
      <c r="E506" s="146"/>
      <c r="F506" s="51"/>
      <c r="G506" s="52"/>
      <c r="H506" s="58"/>
      <c r="I506" s="54"/>
      <c r="J506" s="55"/>
      <c r="K506" s="58"/>
      <c r="L506" s="58"/>
    </row>
    <row r="507" ht="50.25" customHeight="1">
      <c r="A507" s="40"/>
      <c r="B507" s="44" t="str">
        <f t="shared" si="1"/>
        <v>CNT</v>
      </c>
      <c r="C507" s="46"/>
      <c r="D507" s="142"/>
      <c r="E507" s="146"/>
      <c r="F507" s="51"/>
      <c r="G507" s="52"/>
      <c r="H507" s="58"/>
      <c r="I507" s="54"/>
      <c r="J507" s="55"/>
      <c r="K507" s="58"/>
      <c r="L507" s="58"/>
    </row>
    <row r="508" ht="50.25" customHeight="1">
      <c r="A508" s="40"/>
      <c r="B508" s="44" t="str">
        <f t="shared" si="1"/>
        <v>CNT</v>
      </c>
      <c r="C508" s="46"/>
      <c r="D508" s="142"/>
      <c r="E508" s="146"/>
      <c r="F508" s="51"/>
      <c r="G508" s="52"/>
      <c r="H508" s="58"/>
      <c r="I508" s="54"/>
      <c r="J508" s="55"/>
      <c r="K508" s="58"/>
      <c r="L508" s="58"/>
    </row>
    <row r="509" ht="50.25" customHeight="1">
      <c r="A509" s="40"/>
      <c r="B509" s="44" t="str">
        <f t="shared" si="1"/>
        <v>CNT</v>
      </c>
      <c r="C509" s="46"/>
      <c r="D509" s="142"/>
      <c r="E509" s="146"/>
      <c r="F509" s="51"/>
      <c r="G509" s="52"/>
      <c r="H509" s="58"/>
      <c r="I509" s="54"/>
      <c r="J509" s="55"/>
      <c r="K509" s="58"/>
      <c r="L509" s="58"/>
    </row>
    <row r="510" ht="50.25" customHeight="1">
      <c r="A510" s="40"/>
      <c r="B510" s="44" t="str">
        <f t="shared" si="1"/>
        <v>CNT</v>
      </c>
      <c r="C510" s="46"/>
      <c r="D510" s="142"/>
      <c r="E510" s="146"/>
      <c r="F510" s="51"/>
      <c r="G510" s="52"/>
      <c r="H510" s="58"/>
      <c r="I510" s="54"/>
      <c r="J510" s="55"/>
      <c r="K510" s="58"/>
      <c r="L510" s="58"/>
    </row>
    <row r="511" ht="50.25" customHeight="1">
      <c r="A511" s="40"/>
      <c r="B511" s="44" t="str">
        <f t="shared" si="1"/>
        <v>CNT</v>
      </c>
      <c r="C511" s="46"/>
      <c r="D511" s="142"/>
      <c r="E511" s="146"/>
      <c r="F511" s="51"/>
      <c r="G511" s="52"/>
      <c r="H511" s="58"/>
      <c r="I511" s="54"/>
      <c r="J511" s="55"/>
      <c r="K511" s="58"/>
      <c r="L511" s="58"/>
    </row>
    <row r="512" ht="50.25" customHeight="1">
      <c r="A512" s="40"/>
      <c r="B512" s="44" t="str">
        <f t="shared" si="1"/>
        <v>CNT</v>
      </c>
      <c r="C512" s="46"/>
      <c r="D512" s="142"/>
      <c r="E512" s="146"/>
      <c r="F512" s="51"/>
      <c r="G512" s="52"/>
      <c r="H512" s="58"/>
      <c r="I512" s="54"/>
      <c r="J512" s="55"/>
      <c r="K512" s="58"/>
      <c r="L512" s="58"/>
    </row>
    <row r="513" ht="50.25" customHeight="1">
      <c r="A513" s="40"/>
      <c r="B513" s="44" t="str">
        <f t="shared" si="1"/>
        <v>CNT</v>
      </c>
      <c r="C513" s="46"/>
      <c r="D513" s="142"/>
      <c r="E513" s="146"/>
      <c r="F513" s="51"/>
      <c r="G513" s="52"/>
      <c r="H513" s="58"/>
      <c r="I513" s="54"/>
      <c r="J513" s="55"/>
      <c r="K513" s="58"/>
      <c r="L513" s="58"/>
    </row>
    <row r="514" ht="50.25" customHeight="1">
      <c r="A514" s="40"/>
      <c r="B514" s="44" t="str">
        <f t="shared" si="1"/>
        <v>CNT</v>
      </c>
      <c r="C514" s="46"/>
      <c r="D514" s="142"/>
      <c r="E514" s="146"/>
      <c r="F514" s="51"/>
      <c r="G514" s="52"/>
      <c r="H514" s="58"/>
      <c r="I514" s="54"/>
      <c r="J514" s="55"/>
      <c r="K514" s="58"/>
      <c r="L514" s="58"/>
    </row>
    <row r="515" ht="50.25" customHeight="1">
      <c r="A515" s="40"/>
      <c r="B515" s="44" t="str">
        <f t="shared" si="1"/>
        <v>CNT</v>
      </c>
      <c r="C515" s="46"/>
      <c r="D515" s="142"/>
      <c r="E515" s="146"/>
      <c r="F515" s="51"/>
      <c r="G515" s="52"/>
      <c r="H515" s="58"/>
      <c r="I515" s="54"/>
      <c r="J515" s="55"/>
      <c r="K515" s="58"/>
      <c r="L515" s="58"/>
    </row>
    <row r="516" ht="50.25" customHeight="1">
      <c r="A516" s="40"/>
      <c r="B516" s="44" t="str">
        <f t="shared" si="1"/>
        <v>CNT</v>
      </c>
      <c r="C516" s="46"/>
      <c r="D516" s="142"/>
      <c r="E516" s="146"/>
      <c r="F516" s="51"/>
      <c r="G516" s="52"/>
      <c r="H516" s="58"/>
      <c r="I516" s="54"/>
      <c r="J516" s="55"/>
      <c r="K516" s="58"/>
      <c r="L516" s="58"/>
    </row>
    <row r="517" ht="50.25" customHeight="1">
      <c r="A517" s="40"/>
      <c r="B517" s="44" t="str">
        <f t="shared" si="1"/>
        <v>CNT</v>
      </c>
      <c r="C517" s="46"/>
      <c r="D517" s="142"/>
      <c r="E517" s="146"/>
      <c r="F517" s="51"/>
      <c r="G517" s="52"/>
      <c r="H517" s="58"/>
      <c r="I517" s="54"/>
      <c r="J517" s="55"/>
      <c r="K517" s="58"/>
      <c r="L517" s="58"/>
    </row>
    <row r="518" ht="50.25" customHeight="1">
      <c r="A518" s="40"/>
      <c r="B518" s="44" t="str">
        <f t="shared" si="1"/>
        <v>CNT</v>
      </c>
      <c r="C518" s="46"/>
      <c r="D518" s="142"/>
      <c r="E518" s="146"/>
      <c r="F518" s="51"/>
      <c r="G518" s="52"/>
      <c r="H518" s="58"/>
      <c r="I518" s="54"/>
      <c r="J518" s="55"/>
      <c r="K518" s="58"/>
      <c r="L518" s="58"/>
    </row>
    <row r="519" ht="50.25" customHeight="1">
      <c r="A519" s="40"/>
      <c r="B519" s="44" t="str">
        <f t="shared" si="1"/>
        <v>CNT</v>
      </c>
      <c r="C519" s="46"/>
      <c r="D519" s="142"/>
      <c r="E519" s="146"/>
      <c r="F519" s="51"/>
      <c r="G519" s="52"/>
      <c r="H519" s="58"/>
      <c r="I519" s="54"/>
      <c r="J519" s="55"/>
      <c r="K519" s="58"/>
      <c r="L519" s="58"/>
    </row>
    <row r="520" ht="50.25" customHeight="1">
      <c r="A520" s="40"/>
      <c r="B520" s="44" t="str">
        <f t="shared" si="1"/>
        <v>CNT</v>
      </c>
      <c r="C520" s="46"/>
      <c r="D520" s="142"/>
      <c r="E520" s="146"/>
      <c r="F520" s="51"/>
      <c r="G520" s="52"/>
      <c r="H520" s="58"/>
      <c r="I520" s="54"/>
      <c r="J520" s="55"/>
      <c r="K520" s="58"/>
      <c r="L520" s="58"/>
    </row>
    <row r="521" ht="50.25" customHeight="1">
      <c r="A521" s="40"/>
      <c r="B521" s="44" t="str">
        <f t="shared" si="1"/>
        <v>CNT</v>
      </c>
      <c r="C521" s="46"/>
      <c r="D521" s="142"/>
      <c r="E521" s="146"/>
      <c r="F521" s="51"/>
      <c r="G521" s="52"/>
      <c r="H521" s="58"/>
      <c r="I521" s="54"/>
      <c r="J521" s="55"/>
      <c r="K521" s="58"/>
      <c r="L521" s="58"/>
    </row>
    <row r="522" ht="50.25" customHeight="1">
      <c r="A522" s="40"/>
      <c r="B522" s="44" t="str">
        <f t="shared" si="1"/>
        <v>CNT</v>
      </c>
      <c r="C522" s="46"/>
      <c r="D522" s="142"/>
      <c r="E522" s="146"/>
      <c r="F522" s="51"/>
      <c r="G522" s="52"/>
      <c r="H522" s="58"/>
      <c r="I522" s="54"/>
      <c r="J522" s="55"/>
      <c r="K522" s="58"/>
      <c r="L522" s="58"/>
    </row>
    <row r="523" ht="50.25" customHeight="1">
      <c r="A523" s="40"/>
      <c r="B523" s="44" t="str">
        <f t="shared" si="1"/>
        <v>CNT</v>
      </c>
      <c r="C523" s="46"/>
      <c r="D523" s="142"/>
      <c r="E523" s="146"/>
      <c r="F523" s="51"/>
      <c r="G523" s="52"/>
      <c r="H523" s="58"/>
      <c r="I523" s="54"/>
      <c r="J523" s="55"/>
      <c r="K523" s="58"/>
      <c r="L523" s="58"/>
    </row>
    <row r="524" ht="50.25" customHeight="1">
      <c r="A524" s="40"/>
      <c r="B524" s="44" t="str">
        <f t="shared" si="1"/>
        <v>CNT</v>
      </c>
      <c r="C524" s="46"/>
      <c r="D524" s="142"/>
      <c r="E524" s="146"/>
      <c r="F524" s="51"/>
      <c r="G524" s="52"/>
      <c r="H524" s="58"/>
      <c r="I524" s="54"/>
      <c r="J524" s="55"/>
      <c r="K524" s="58"/>
      <c r="L524" s="58"/>
    </row>
    <row r="525" ht="50.25" customHeight="1">
      <c r="A525" s="40"/>
      <c r="B525" s="44" t="str">
        <f t="shared" si="1"/>
        <v>CNT</v>
      </c>
      <c r="C525" s="46"/>
      <c r="D525" s="142"/>
      <c r="E525" s="146"/>
      <c r="F525" s="51"/>
      <c r="G525" s="52"/>
      <c r="H525" s="58"/>
      <c r="I525" s="54"/>
      <c r="J525" s="55"/>
      <c r="K525" s="58"/>
      <c r="L525" s="58"/>
    </row>
    <row r="526" ht="50.25" customHeight="1">
      <c r="A526" s="40"/>
      <c r="B526" s="44" t="str">
        <f t="shared" si="1"/>
        <v>CNT</v>
      </c>
      <c r="C526" s="46"/>
      <c r="D526" s="142"/>
      <c r="E526" s="146"/>
      <c r="F526" s="51"/>
      <c r="G526" s="52"/>
      <c r="H526" s="58"/>
      <c r="I526" s="54"/>
      <c r="J526" s="55"/>
      <c r="K526" s="58"/>
      <c r="L526" s="58"/>
    </row>
    <row r="527" ht="50.25" customHeight="1">
      <c r="A527" s="40"/>
      <c r="B527" s="44" t="str">
        <f t="shared" si="1"/>
        <v>CNT</v>
      </c>
      <c r="C527" s="46"/>
      <c r="D527" s="142"/>
      <c r="E527" s="146"/>
      <c r="F527" s="51"/>
      <c r="G527" s="52"/>
      <c r="H527" s="58"/>
      <c r="I527" s="54"/>
      <c r="J527" s="55"/>
      <c r="K527" s="58"/>
      <c r="L527" s="58"/>
    </row>
    <row r="528" ht="50.25" customHeight="1">
      <c r="A528" s="40"/>
      <c r="B528" s="44" t="str">
        <f t="shared" si="1"/>
        <v>CNT</v>
      </c>
      <c r="C528" s="46"/>
      <c r="D528" s="142"/>
      <c r="E528" s="146"/>
      <c r="F528" s="51"/>
      <c r="G528" s="52"/>
      <c r="H528" s="58"/>
      <c r="I528" s="54"/>
      <c r="J528" s="55"/>
      <c r="K528" s="58"/>
      <c r="L528" s="58"/>
    </row>
    <row r="529" ht="50.25" customHeight="1">
      <c r="A529" s="40"/>
      <c r="B529" s="44" t="str">
        <f t="shared" si="1"/>
        <v>CNT</v>
      </c>
      <c r="C529" s="46"/>
      <c r="D529" s="142"/>
      <c r="E529" s="146"/>
      <c r="F529" s="51"/>
      <c r="G529" s="52"/>
      <c r="H529" s="58"/>
      <c r="I529" s="54"/>
      <c r="J529" s="55"/>
      <c r="K529" s="58"/>
      <c r="L529" s="58"/>
    </row>
    <row r="530" ht="50.25" customHeight="1">
      <c r="A530" s="40"/>
      <c r="B530" s="44" t="str">
        <f t="shared" si="1"/>
        <v>CNT</v>
      </c>
      <c r="C530" s="46"/>
      <c r="D530" s="142"/>
      <c r="E530" s="146"/>
      <c r="F530" s="51"/>
      <c r="G530" s="52"/>
      <c r="H530" s="58"/>
      <c r="I530" s="54"/>
      <c r="J530" s="55"/>
      <c r="K530" s="58"/>
      <c r="L530" s="58"/>
    </row>
    <row r="531" ht="50.25" customHeight="1">
      <c r="A531" s="40"/>
      <c r="B531" s="44" t="str">
        <f t="shared" si="1"/>
        <v>CNT</v>
      </c>
      <c r="C531" s="46"/>
      <c r="D531" s="142"/>
      <c r="E531" s="146"/>
      <c r="F531" s="51"/>
      <c r="G531" s="52"/>
      <c r="H531" s="58"/>
      <c r="I531" s="54"/>
      <c r="J531" s="55"/>
      <c r="K531" s="58"/>
      <c r="L531" s="58"/>
    </row>
    <row r="532" ht="50.25" customHeight="1">
      <c r="A532" s="40"/>
      <c r="B532" s="44" t="str">
        <f t="shared" si="1"/>
        <v>CNT</v>
      </c>
      <c r="C532" s="46"/>
      <c r="D532" s="142"/>
      <c r="E532" s="146"/>
      <c r="F532" s="51"/>
      <c r="G532" s="52"/>
      <c r="H532" s="58"/>
      <c r="I532" s="54"/>
      <c r="J532" s="55"/>
      <c r="K532" s="58"/>
      <c r="L532" s="58"/>
    </row>
    <row r="533" ht="50.25" customHeight="1">
      <c r="A533" s="40"/>
      <c r="B533" s="44" t="str">
        <f t="shared" si="1"/>
        <v>CNT</v>
      </c>
      <c r="C533" s="46"/>
      <c r="D533" s="142"/>
      <c r="E533" s="146"/>
      <c r="F533" s="51"/>
      <c r="G533" s="52"/>
      <c r="H533" s="58"/>
      <c r="I533" s="54"/>
      <c r="J533" s="55"/>
      <c r="K533" s="58"/>
      <c r="L533" s="58"/>
    </row>
    <row r="534" ht="50.25" customHeight="1">
      <c r="A534" s="40"/>
      <c r="B534" s="44" t="str">
        <f t="shared" si="1"/>
        <v>CNT</v>
      </c>
      <c r="C534" s="46"/>
      <c r="D534" s="142"/>
      <c r="E534" s="146"/>
      <c r="F534" s="51"/>
      <c r="G534" s="52"/>
      <c r="H534" s="58"/>
      <c r="I534" s="54"/>
      <c r="J534" s="55"/>
      <c r="K534" s="58"/>
      <c r="L534" s="58"/>
    </row>
    <row r="535" ht="50.25" customHeight="1">
      <c r="A535" s="40"/>
      <c r="B535" s="44" t="str">
        <f t="shared" si="1"/>
        <v>CNT</v>
      </c>
      <c r="C535" s="46"/>
      <c r="D535" s="142"/>
      <c r="E535" s="146"/>
      <c r="F535" s="51"/>
      <c r="G535" s="52"/>
      <c r="H535" s="58"/>
      <c r="I535" s="54"/>
      <c r="J535" s="55"/>
      <c r="K535" s="58"/>
      <c r="L535" s="58"/>
    </row>
    <row r="536" ht="50.25" customHeight="1">
      <c r="A536" s="40"/>
      <c r="B536" s="44" t="str">
        <f t="shared" si="1"/>
        <v>CNT</v>
      </c>
      <c r="C536" s="46"/>
      <c r="D536" s="142"/>
      <c r="E536" s="146"/>
      <c r="F536" s="51"/>
      <c r="G536" s="52"/>
      <c r="H536" s="58"/>
      <c r="I536" s="54"/>
      <c r="J536" s="55"/>
      <c r="K536" s="58"/>
      <c r="L536" s="58"/>
    </row>
    <row r="537" ht="50.25" customHeight="1">
      <c r="A537" s="40"/>
      <c r="B537" s="44" t="str">
        <f t="shared" si="1"/>
        <v>CNT</v>
      </c>
      <c r="C537" s="46"/>
      <c r="D537" s="142"/>
      <c r="E537" s="146"/>
      <c r="F537" s="51"/>
      <c r="G537" s="52"/>
      <c r="H537" s="58"/>
      <c r="I537" s="54"/>
      <c r="J537" s="55"/>
      <c r="K537" s="58"/>
      <c r="L537" s="58"/>
    </row>
    <row r="538" ht="50.25" customHeight="1">
      <c r="A538" s="40"/>
      <c r="B538" s="44" t="str">
        <f t="shared" si="1"/>
        <v>CNT</v>
      </c>
      <c r="C538" s="46"/>
      <c r="D538" s="142"/>
      <c r="E538" s="146"/>
      <c r="F538" s="51"/>
      <c r="G538" s="52"/>
      <c r="H538" s="58"/>
      <c r="I538" s="54"/>
      <c r="J538" s="55"/>
      <c r="K538" s="58"/>
      <c r="L538" s="58"/>
    </row>
    <row r="539" ht="50.25" customHeight="1">
      <c r="A539" s="40"/>
      <c r="B539" s="44" t="str">
        <f t="shared" si="1"/>
        <v>CNT</v>
      </c>
      <c r="C539" s="46"/>
      <c r="D539" s="142"/>
      <c r="E539" s="146"/>
      <c r="F539" s="51"/>
      <c r="G539" s="52"/>
      <c r="H539" s="58"/>
      <c r="I539" s="54"/>
      <c r="J539" s="55"/>
      <c r="K539" s="58"/>
      <c r="L539" s="58"/>
    </row>
    <row r="540" ht="50.25" customHeight="1">
      <c r="A540" s="40"/>
      <c r="B540" s="44" t="str">
        <f t="shared" si="1"/>
        <v>CNT</v>
      </c>
      <c r="C540" s="46"/>
      <c r="D540" s="142"/>
      <c r="E540" s="146"/>
      <c r="F540" s="51"/>
      <c r="G540" s="52"/>
      <c r="H540" s="58"/>
      <c r="I540" s="54"/>
      <c r="J540" s="55"/>
      <c r="K540" s="58"/>
      <c r="L540" s="58"/>
    </row>
    <row r="541" ht="50.25" customHeight="1">
      <c r="A541" s="40"/>
      <c r="B541" s="44" t="str">
        <f t="shared" si="1"/>
        <v>CNT</v>
      </c>
      <c r="C541" s="46"/>
      <c r="D541" s="142"/>
      <c r="E541" s="146"/>
      <c r="F541" s="51"/>
      <c r="G541" s="52"/>
      <c r="H541" s="58"/>
      <c r="I541" s="54"/>
      <c r="J541" s="55"/>
      <c r="K541" s="58"/>
      <c r="L541" s="58"/>
    </row>
    <row r="542" ht="50.25" customHeight="1">
      <c r="A542" s="40"/>
      <c r="B542" s="44" t="str">
        <f t="shared" si="1"/>
        <v>CNT</v>
      </c>
      <c r="C542" s="46"/>
      <c r="D542" s="142"/>
      <c r="E542" s="146"/>
      <c r="F542" s="51"/>
      <c r="G542" s="52"/>
      <c r="H542" s="58"/>
      <c r="I542" s="54"/>
      <c r="J542" s="55"/>
      <c r="K542" s="58"/>
      <c r="L542" s="58"/>
    </row>
    <row r="543" ht="50.25" customHeight="1">
      <c r="A543" s="40"/>
      <c r="B543" s="44" t="str">
        <f t="shared" si="1"/>
        <v>CNT</v>
      </c>
      <c r="C543" s="46"/>
      <c r="D543" s="142"/>
      <c r="E543" s="146"/>
      <c r="F543" s="51"/>
      <c r="G543" s="52"/>
      <c r="H543" s="58"/>
      <c r="I543" s="54"/>
      <c r="J543" s="55"/>
      <c r="K543" s="58"/>
      <c r="L543" s="58"/>
    </row>
    <row r="544" ht="50.25" customHeight="1">
      <c r="A544" s="40"/>
      <c r="B544" s="44" t="str">
        <f t="shared" si="1"/>
        <v>CNT</v>
      </c>
      <c r="C544" s="46"/>
      <c r="D544" s="142"/>
      <c r="E544" s="146"/>
      <c r="F544" s="51"/>
      <c r="G544" s="52"/>
      <c r="H544" s="58"/>
      <c r="I544" s="54"/>
      <c r="J544" s="55"/>
      <c r="K544" s="58"/>
      <c r="L544" s="58"/>
    </row>
    <row r="545" ht="50.25" customHeight="1">
      <c r="A545" s="40"/>
      <c r="B545" s="44" t="str">
        <f t="shared" si="1"/>
        <v>CNT</v>
      </c>
      <c r="C545" s="46"/>
      <c r="D545" s="142"/>
      <c r="E545" s="146"/>
      <c r="F545" s="51"/>
      <c r="G545" s="52"/>
      <c r="H545" s="58"/>
      <c r="I545" s="54"/>
      <c r="J545" s="55"/>
      <c r="K545" s="58"/>
      <c r="L545" s="58"/>
    </row>
    <row r="546" ht="50.25" customHeight="1">
      <c r="A546" s="40"/>
      <c r="B546" s="44" t="str">
        <f t="shared" si="1"/>
        <v>CNT</v>
      </c>
      <c r="C546" s="46"/>
      <c r="D546" s="142"/>
      <c r="E546" s="146"/>
      <c r="F546" s="51"/>
      <c r="G546" s="52"/>
      <c r="H546" s="58"/>
      <c r="I546" s="54"/>
      <c r="J546" s="55"/>
      <c r="K546" s="58"/>
      <c r="L546" s="58"/>
    </row>
    <row r="547" ht="50.25" customHeight="1">
      <c r="A547" s="40"/>
      <c r="B547" s="44" t="str">
        <f t="shared" si="1"/>
        <v>CNT</v>
      </c>
      <c r="C547" s="46"/>
      <c r="D547" s="142"/>
      <c r="E547" s="146"/>
      <c r="F547" s="51"/>
      <c r="G547" s="52"/>
      <c r="H547" s="58"/>
      <c r="I547" s="54"/>
      <c r="J547" s="55"/>
      <c r="K547" s="58"/>
      <c r="L547" s="58"/>
    </row>
    <row r="548" ht="50.25" customHeight="1">
      <c r="A548" s="40"/>
      <c r="B548" s="44" t="str">
        <f t="shared" si="1"/>
        <v>CNT</v>
      </c>
      <c r="C548" s="46"/>
      <c r="D548" s="142"/>
      <c r="E548" s="146"/>
      <c r="F548" s="51"/>
      <c r="G548" s="52"/>
      <c r="H548" s="58"/>
      <c r="I548" s="54"/>
      <c r="J548" s="55"/>
      <c r="K548" s="58"/>
      <c r="L548" s="58"/>
    </row>
    <row r="549" ht="50.25" customHeight="1">
      <c r="A549" s="40"/>
      <c r="B549" s="44" t="str">
        <f t="shared" si="1"/>
        <v>CNT</v>
      </c>
      <c r="C549" s="46"/>
      <c r="D549" s="142"/>
      <c r="E549" s="146"/>
      <c r="F549" s="51"/>
      <c r="G549" s="52"/>
      <c r="H549" s="58"/>
      <c r="I549" s="54"/>
      <c r="J549" s="55"/>
      <c r="K549" s="58"/>
      <c r="L549" s="58"/>
    </row>
    <row r="550" ht="50.25" customHeight="1">
      <c r="A550" s="40"/>
      <c r="B550" s="44" t="str">
        <f t="shared" si="1"/>
        <v>CNT</v>
      </c>
      <c r="C550" s="46"/>
      <c r="D550" s="142"/>
      <c r="E550" s="146"/>
      <c r="F550" s="51"/>
      <c r="G550" s="52"/>
      <c r="H550" s="58"/>
      <c r="I550" s="54"/>
      <c r="J550" s="55"/>
      <c r="K550" s="58"/>
      <c r="L550" s="58"/>
    </row>
    <row r="551" ht="50.25" customHeight="1">
      <c r="A551" s="40"/>
      <c r="B551" s="44" t="str">
        <f t="shared" si="1"/>
        <v>CNT</v>
      </c>
      <c r="C551" s="46"/>
      <c r="D551" s="142"/>
      <c r="E551" s="146"/>
      <c r="F551" s="51"/>
      <c r="G551" s="52"/>
      <c r="H551" s="58"/>
      <c r="I551" s="54"/>
      <c r="J551" s="55"/>
      <c r="K551" s="58"/>
      <c r="L551" s="58"/>
    </row>
    <row r="552" ht="50.25" customHeight="1">
      <c r="A552" s="40"/>
      <c r="B552" s="44" t="str">
        <f t="shared" si="1"/>
        <v>CNT</v>
      </c>
      <c r="C552" s="46"/>
      <c r="D552" s="142"/>
      <c r="E552" s="146"/>
      <c r="F552" s="51"/>
      <c r="G552" s="52"/>
      <c r="H552" s="58"/>
      <c r="I552" s="54"/>
      <c r="J552" s="55"/>
      <c r="K552" s="58"/>
      <c r="L552" s="58"/>
    </row>
    <row r="553" ht="50.25" customHeight="1">
      <c r="A553" s="40"/>
      <c r="B553" s="44" t="str">
        <f t="shared" si="1"/>
        <v>CNT</v>
      </c>
      <c r="C553" s="46"/>
      <c r="D553" s="142"/>
      <c r="E553" s="146"/>
      <c r="F553" s="51"/>
      <c r="G553" s="52"/>
      <c r="H553" s="58"/>
      <c r="I553" s="54"/>
      <c r="J553" s="55"/>
      <c r="K553" s="58"/>
      <c r="L553" s="58"/>
    </row>
    <row r="554" ht="50.25" customHeight="1">
      <c r="A554" s="40"/>
      <c r="B554" s="44" t="str">
        <f t="shared" si="1"/>
        <v>CNT</v>
      </c>
      <c r="C554" s="46"/>
      <c r="D554" s="142"/>
      <c r="E554" s="146"/>
      <c r="F554" s="51"/>
      <c r="G554" s="52"/>
      <c r="H554" s="58"/>
      <c r="I554" s="54"/>
      <c r="J554" s="55"/>
      <c r="K554" s="58"/>
      <c r="L554" s="58"/>
    </row>
    <row r="555" ht="50.25" customHeight="1">
      <c r="A555" s="40"/>
      <c r="B555" s="44" t="str">
        <f t="shared" si="1"/>
        <v>CNT</v>
      </c>
      <c r="C555" s="46"/>
      <c r="D555" s="142"/>
      <c r="E555" s="146"/>
      <c r="F555" s="51"/>
      <c r="G555" s="52"/>
      <c r="H555" s="58"/>
      <c r="I555" s="54"/>
      <c r="J555" s="55"/>
      <c r="K555" s="58"/>
      <c r="L555" s="58"/>
    </row>
    <row r="556" ht="50.25" customHeight="1">
      <c r="A556" s="40"/>
      <c r="B556" s="44" t="str">
        <f t="shared" si="1"/>
        <v>CNT</v>
      </c>
      <c r="C556" s="46"/>
      <c r="D556" s="142"/>
      <c r="E556" s="146"/>
      <c r="F556" s="51"/>
      <c r="G556" s="52"/>
      <c r="H556" s="58"/>
      <c r="I556" s="54"/>
      <c r="J556" s="55"/>
      <c r="K556" s="58"/>
      <c r="L556" s="58"/>
    </row>
    <row r="557" ht="50.25" customHeight="1">
      <c r="A557" s="40"/>
      <c r="B557" s="44" t="str">
        <f t="shared" si="1"/>
        <v>CNT</v>
      </c>
      <c r="C557" s="46"/>
      <c r="D557" s="142"/>
      <c r="E557" s="146"/>
      <c r="F557" s="51"/>
      <c r="G557" s="52"/>
      <c r="H557" s="58"/>
      <c r="I557" s="54"/>
      <c r="J557" s="55"/>
      <c r="K557" s="58"/>
      <c r="L557" s="58"/>
    </row>
    <row r="558" ht="50.25" customHeight="1">
      <c r="A558" s="40"/>
      <c r="B558" s="44" t="str">
        <f t="shared" si="1"/>
        <v>CNT</v>
      </c>
      <c r="C558" s="46"/>
      <c r="D558" s="142"/>
      <c r="E558" s="146"/>
      <c r="F558" s="51"/>
      <c r="G558" s="52"/>
      <c r="H558" s="58"/>
      <c r="I558" s="54"/>
      <c r="J558" s="55"/>
      <c r="K558" s="58"/>
      <c r="L558" s="58"/>
    </row>
    <row r="559" ht="50.25" customHeight="1">
      <c r="A559" s="40"/>
      <c r="B559" s="44" t="str">
        <f t="shared" si="1"/>
        <v>CNT</v>
      </c>
      <c r="C559" s="46"/>
      <c r="D559" s="142"/>
      <c r="E559" s="146"/>
      <c r="F559" s="51"/>
      <c r="G559" s="52"/>
      <c r="H559" s="58"/>
      <c r="I559" s="54"/>
      <c r="J559" s="55"/>
      <c r="K559" s="58"/>
      <c r="L559" s="58"/>
    </row>
    <row r="560" ht="50.25" customHeight="1">
      <c r="A560" s="40"/>
      <c r="B560" s="44" t="str">
        <f t="shared" si="1"/>
        <v>CNT</v>
      </c>
      <c r="C560" s="46"/>
      <c r="D560" s="142"/>
      <c r="E560" s="146"/>
      <c r="F560" s="51"/>
      <c r="G560" s="52"/>
      <c r="H560" s="58"/>
      <c r="I560" s="54"/>
      <c r="J560" s="55"/>
      <c r="K560" s="58"/>
      <c r="L560" s="58"/>
    </row>
    <row r="561" ht="50.25" customHeight="1">
      <c r="A561" s="40"/>
      <c r="B561" s="44" t="str">
        <f t="shared" si="1"/>
        <v>CNT</v>
      </c>
      <c r="C561" s="46"/>
      <c r="D561" s="142"/>
      <c r="E561" s="146"/>
      <c r="F561" s="51"/>
      <c r="G561" s="52"/>
      <c r="H561" s="58"/>
      <c r="I561" s="54"/>
      <c r="J561" s="55"/>
      <c r="K561" s="58"/>
      <c r="L561" s="58"/>
    </row>
    <row r="562" ht="50.25" customHeight="1">
      <c r="A562" s="40"/>
      <c r="B562" s="44" t="str">
        <f t="shared" si="1"/>
        <v>CNT</v>
      </c>
      <c r="C562" s="46"/>
      <c r="D562" s="142"/>
      <c r="E562" s="146"/>
      <c r="F562" s="51"/>
      <c r="G562" s="52"/>
      <c r="H562" s="58"/>
      <c r="I562" s="54"/>
      <c r="J562" s="55"/>
      <c r="K562" s="58"/>
      <c r="L562" s="58"/>
    </row>
    <row r="563" ht="50.25" customHeight="1">
      <c r="A563" s="40"/>
      <c r="B563" s="44" t="str">
        <f t="shared" si="1"/>
        <v>CNT</v>
      </c>
      <c r="C563" s="46"/>
      <c r="D563" s="142"/>
      <c r="E563" s="146"/>
      <c r="F563" s="51"/>
      <c r="G563" s="52"/>
      <c r="H563" s="58"/>
      <c r="I563" s="54"/>
      <c r="J563" s="55"/>
      <c r="K563" s="58"/>
      <c r="L563" s="58"/>
    </row>
    <row r="564" ht="50.25" customHeight="1">
      <c r="A564" s="40"/>
      <c r="B564" s="44" t="str">
        <f t="shared" si="1"/>
        <v>CNT</v>
      </c>
      <c r="C564" s="46"/>
      <c r="D564" s="142"/>
      <c r="E564" s="146"/>
      <c r="F564" s="51"/>
      <c r="G564" s="52"/>
      <c r="H564" s="58"/>
      <c r="I564" s="54"/>
      <c r="J564" s="55"/>
      <c r="K564" s="58"/>
      <c r="L564" s="58"/>
    </row>
    <row r="565" ht="50.25" customHeight="1">
      <c r="A565" s="40"/>
      <c r="B565" s="44" t="str">
        <f t="shared" si="1"/>
        <v>CNT</v>
      </c>
      <c r="C565" s="46"/>
      <c r="D565" s="142"/>
      <c r="E565" s="146"/>
      <c r="F565" s="51"/>
      <c r="G565" s="52"/>
      <c r="H565" s="58"/>
      <c r="I565" s="54"/>
      <c r="J565" s="55"/>
      <c r="K565" s="58"/>
      <c r="L565" s="58"/>
    </row>
    <row r="566" ht="50.25" customHeight="1">
      <c r="A566" s="40"/>
      <c r="B566" s="44" t="str">
        <f t="shared" si="1"/>
        <v>CNT</v>
      </c>
      <c r="C566" s="46"/>
      <c r="D566" s="142"/>
      <c r="E566" s="146"/>
      <c r="F566" s="51"/>
      <c r="G566" s="52"/>
      <c r="H566" s="58"/>
      <c r="I566" s="54"/>
      <c r="J566" s="55"/>
      <c r="K566" s="58"/>
      <c r="L566" s="58"/>
    </row>
    <row r="567" ht="50.25" customHeight="1">
      <c r="A567" s="40"/>
      <c r="B567" s="44" t="str">
        <f t="shared" si="1"/>
        <v>CNT</v>
      </c>
      <c r="C567" s="46"/>
      <c r="D567" s="142"/>
      <c r="E567" s="146"/>
      <c r="F567" s="51"/>
      <c r="G567" s="52"/>
      <c r="H567" s="58"/>
      <c r="I567" s="54"/>
      <c r="J567" s="55"/>
      <c r="K567" s="58"/>
      <c r="L567" s="58"/>
    </row>
    <row r="568" ht="50.25" customHeight="1">
      <c r="A568" s="40"/>
      <c r="B568" s="44" t="str">
        <f t="shared" si="1"/>
        <v>CNT</v>
      </c>
      <c r="C568" s="46"/>
      <c r="D568" s="142"/>
      <c r="E568" s="146"/>
      <c r="F568" s="51"/>
      <c r="G568" s="52"/>
      <c r="H568" s="58"/>
      <c r="I568" s="54"/>
      <c r="J568" s="55"/>
      <c r="K568" s="58"/>
      <c r="L568" s="58"/>
    </row>
    <row r="569" ht="50.25" customHeight="1">
      <c r="A569" s="40"/>
      <c r="B569" s="44" t="str">
        <f t="shared" si="1"/>
        <v>CNT</v>
      </c>
      <c r="C569" s="46"/>
      <c r="D569" s="142"/>
      <c r="E569" s="146"/>
      <c r="F569" s="51"/>
      <c r="G569" s="52"/>
      <c r="H569" s="58"/>
      <c r="I569" s="54"/>
      <c r="J569" s="55"/>
      <c r="K569" s="58"/>
      <c r="L569" s="58"/>
    </row>
    <row r="570" ht="50.25" customHeight="1">
      <c r="A570" s="40"/>
      <c r="B570" s="44" t="str">
        <f t="shared" si="1"/>
        <v>CNT</v>
      </c>
      <c r="C570" s="46"/>
      <c r="D570" s="142"/>
      <c r="E570" s="146"/>
      <c r="F570" s="51"/>
      <c r="G570" s="52"/>
      <c r="H570" s="58"/>
      <c r="I570" s="54"/>
      <c r="J570" s="55"/>
      <c r="K570" s="58"/>
      <c r="L570" s="58"/>
    </row>
    <row r="571" ht="50.25" customHeight="1">
      <c r="A571" s="40"/>
      <c r="B571" s="44" t="str">
        <f t="shared" si="1"/>
        <v>CNT</v>
      </c>
      <c r="C571" s="46"/>
      <c r="D571" s="142"/>
      <c r="E571" s="146"/>
      <c r="F571" s="51"/>
      <c r="G571" s="52"/>
      <c r="H571" s="58"/>
      <c r="I571" s="54"/>
      <c r="J571" s="55"/>
      <c r="K571" s="58"/>
      <c r="L571" s="58"/>
    </row>
    <row r="572" ht="50.25" customHeight="1">
      <c r="A572" s="40"/>
      <c r="B572" s="44" t="str">
        <f t="shared" si="1"/>
        <v>CNT</v>
      </c>
      <c r="C572" s="46"/>
      <c r="D572" s="142"/>
      <c r="E572" s="146"/>
      <c r="F572" s="51"/>
      <c r="G572" s="52"/>
      <c r="H572" s="58"/>
      <c r="I572" s="54"/>
      <c r="J572" s="55"/>
      <c r="K572" s="58"/>
      <c r="L572" s="58"/>
    </row>
    <row r="573" ht="50.25" customHeight="1">
      <c r="A573" s="40"/>
      <c r="B573" s="44" t="str">
        <f t="shared" si="1"/>
        <v>CNT</v>
      </c>
      <c r="C573" s="46"/>
      <c r="D573" s="142"/>
      <c r="E573" s="146"/>
      <c r="F573" s="51"/>
      <c r="G573" s="52"/>
      <c r="H573" s="58"/>
      <c r="I573" s="54"/>
      <c r="J573" s="55"/>
      <c r="K573" s="58"/>
      <c r="L573" s="58"/>
    </row>
    <row r="574" ht="50.25" customHeight="1">
      <c r="A574" s="40"/>
      <c r="B574" s="44" t="str">
        <f t="shared" si="1"/>
        <v>CNT</v>
      </c>
      <c r="C574" s="46"/>
      <c r="D574" s="142"/>
      <c r="E574" s="146"/>
      <c r="F574" s="51"/>
      <c r="G574" s="52"/>
      <c r="H574" s="58"/>
      <c r="I574" s="54"/>
      <c r="J574" s="55"/>
      <c r="K574" s="58"/>
      <c r="L574" s="58"/>
    </row>
    <row r="575" ht="50.25" customHeight="1">
      <c r="A575" s="40"/>
      <c r="B575" s="44" t="str">
        <f t="shared" si="1"/>
        <v>CNT</v>
      </c>
      <c r="C575" s="46"/>
      <c r="D575" s="142"/>
      <c r="E575" s="146"/>
      <c r="F575" s="51"/>
      <c r="G575" s="52"/>
      <c r="H575" s="58"/>
      <c r="I575" s="54"/>
      <c r="J575" s="55"/>
      <c r="K575" s="58"/>
      <c r="L575" s="58"/>
    </row>
    <row r="576" ht="50.25" customHeight="1">
      <c r="A576" s="40"/>
      <c r="B576" s="44" t="str">
        <f t="shared" si="1"/>
        <v>CNT</v>
      </c>
      <c r="C576" s="46"/>
      <c r="D576" s="142"/>
      <c r="E576" s="146"/>
      <c r="F576" s="51"/>
      <c r="G576" s="52"/>
      <c r="H576" s="58"/>
      <c r="I576" s="54"/>
      <c r="J576" s="55"/>
      <c r="K576" s="58"/>
      <c r="L576" s="58"/>
    </row>
    <row r="577" ht="50.25" customHeight="1">
      <c r="A577" s="40"/>
      <c r="B577" s="44" t="str">
        <f t="shared" si="1"/>
        <v>CNT</v>
      </c>
      <c r="C577" s="46"/>
      <c r="D577" s="142"/>
      <c r="E577" s="146"/>
      <c r="F577" s="51"/>
      <c r="G577" s="52"/>
      <c r="H577" s="58"/>
      <c r="I577" s="54"/>
      <c r="J577" s="55"/>
      <c r="K577" s="58"/>
      <c r="L577" s="58"/>
    </row>
    <row r="578" ht="50.25" customHeight="1">
      <c r="A578" s="40"/>
      <c r="B578" s="44" t="str">
        <f t="shared" si="1"/>
        <v>CNT</v>
      </c>
      <c r="C578" s="46"/>
      <c r="D578" s="142"/>
      <c r="E578" s="146"/>
      <c r="F578" s="51"/>
      <c r="G578" s="52"/>
      <c r="H578" s="58"/>
      <c r="I578" s="54"/>
      <c r="J578" s="55"/>
      <c r="K578" s="58"/>
      <c r="L578" s="58"/>
    </row>
    <row r="579" ht="50.25" customHeight="1">
      <c r="A579" s="40"/>
      <c r="B579" s="44" t="str">
        <f t="shared" si="1"/>
        <v>CNT</v>
      </c>
      <c r="C579" s="46"/>
      <c r="D579" s="142"/>
      <c r="E579" s="146"/>
      <c r="F579" s="51"/>
      <c r="G579" s="52"/>
      <c r="H579" s="58"/>
      <c r="I579" s="54"/>
      <c r="J579" s="55"/>
      <c r="K579" s="58"/>
      <c r="L579" s="58"/>
    </row>
    <row r="580" ht="50.25" customHeight="1">
      <c r="A580" s="40"/>
      <c r="B580" s="44" t="str">
        <f t="shared" si="1"/>
        <v>CNT</v>
      </c>
      <c r="C580" s="46"/>
      <c r="D580" s="142"/>
      <c r="E580" s="146"/>
      <c r="F580" s="51"/>
      <c r="G580" s="52"/>
      <c r="H580" s="58"/>
      <c r="I580" s="54"/>
      <c r="J580" s="55"/>
      <c r="K580" s="58"/>
      <c r="L580" s="58"/>
    </row>
    <row r="581" ht="50.25" customHeight="1">
      <c r="A581" s="40"/>
      <c r="B581" s="44" t="str">
        <f t="shared" si="1"/>
        <v>CNT</v>
      </c>
      <c r="C581" s="46"/>
      <c r="D581" s="142"/>
      <c r="E581" s="146"/>
      <c r="F581" s="51"/>
      <c r="G581" s="52"/>
      <c r="H581" s="58"/>
      <c r="I581" s="54"/>
      <c r="J581" s="55"/>
      <c r="K581" s="58"/>
      <c r="L581" s="58"/>
    </row>
    <row r="582" ht="50.25" customHeight="1">
      <c r="A582" s="40"/>
      <c r="B582" s="44" t="str">
        <f t="shared" si="1"/>
        <v>CNT</v>
      </c>
      <c r="C582" s="46"/>
      <c r="D582" s="142"/>
      <c r="E582" s="146"/>
      <c r="F582" s="51"/>
      <c r="G582" s="52"/>
      <c r="H582" s="58"/>
      <c r="I582" s="54"/>
      <c r="J582" s="55"/>
      <c r="K582" s="58"/>
      <c r="L582" s="58"/>
    </row>
    <row r="583" ht="50.25" customHeight="1">
      <c r="A583" s="40"/>
      <c r="B583" s="44" t="str">
        <f t="shared" si="1"/>
        <v>CNT</v>
      </c>
      <c r="C583" s="46"/>
      <c r="D583" s="142"/>
      <c r="E583" s="146"/>
      <c r="F583" s="51"/>
      <c r="G583" s="52"/>
      <c r="H583" s="58"/>
      <c r="I583" s="54"/>
      <c r="J583" s="55"/>
      <c r="K583" s="58"/>
      <c r="L583" s="58"/>
    </row>
    <row r="584" ht="50.25" customHeight="1">
      <c r="A584" s="40"/>
      <c r="B584" s="44" t="str">
        <f t="shared" si="1"/>
        <v>CNT</v>
      </c>
      <c r="C584" s="46"/>
      <c r="D584" s="142"/>
      <c r="E584" s="146"/>
      <c r="F584" s="51"/>
      <c r="G584" s="52"/>
      <c r="H584" s="58"/>
      <c r="I584" s="54"/>
      <c r="J584" s="55"/>
      <c r="K584" s="58"/>
      <c r="L584" s="58"/>
    </row>
    <row r="585" ht="50.25" customHeight="1">
      <c r="A585" s="40"/>
      <c r="B585" s="44" t="str">
        <f t="shared" si="1"/>
        <v>CNT</v>
      </c>
      <c r="C585" s="46"/>
      <c r="D585" s="142"/>
      <c r="E585" s="146"/>
      <c r="F585" s="51"/>
      <c r="G585" s="52"/>
      <c r="H585" s="58"/>
      <c r="I585" s="54"/>
      <c r="J585" s="55"/>
      <c r="K585" s="58"/>
      <c r="L585" s="58"/>
    </row>
    <row r="586" ht="50.25" customHeight="1">
      <c r="A586" s="40"/>
      <c r="B586" s="44" t="str">
        <f t="shared" si="1"/>
        <v>CNT</v>
      </c>
      <c r="C586" s="46"/>
      <c r="D586" s="142"/>
      <c r="E586" s="146"/>
      <c r="F586" s="51"/>
      <c r="G586" s="52"/>
      <c r="H586" s="58"/>
      <c r="I586" s="54"/>
      <c r="J586" s="55"/>
      <c r="K586" s="58"/>
      <c r="L586" s="58"/>
    </row>
    <row r="587" ht="50.25" customHeight="1">
      <c r="A587" s="40"/>
      <c r="B587" s="44" t="str">
        <f t="shared" si="1"/>
        <v>CNT</v>
      </c>
      <c r="C587" s="46"/>
      <c r="D587" s="142"/>
      <c r="E587" s="146"/>
      <c r="F587" s="51"/>
      <c r="G587" s="52"/>
      <c r="H587" s="58"/>
      <c r="I587" s="54"/>
      <c r="J587" s="55"/>
      <c r="K587" s="58"/>
      <c r="L587" s="58"/>
    </row>
    <row r="588" ht="50.25" customHeight="1">
      <c r="A588" s="40"/>
      <c r="B588" s="44" t="str">
        <f t="shared" si="1"/>
        <v>CNT</v>
      </c>
      <c r="C588" s="46"/>
      <c r="D588" s="142"/>
      <c r="E588" s="146"/>
      <c r="F588" s="51"/>
      <c r="G588" s="52"/>
      <c r="H588" s="58"/>
      <c r="I588" s="54"/>
      <c r="J588" s="55"/>
      <c r="K588" s="58"/>
      <c r="L588" s="58"/>
    </row>
    <row r="589" ht="50.25" customHeight="1">
      <c r="A589" s="40"/>
      <c r="B589" s="44" t="str">
        <f t="shared" si="1"/>
        <v>CNT</v>
      </c>
      <c r="C589" s="46"/>
      <c r="D589" s="142"/>
      <c r="E589" s="146"/>
      <c r="F589" s="51"/>
      <c r="G589" s="52"/>
      <c r="H589" s="58"/>
      <c r="I589" s="54"/>
      <c r="J589" s="55"/>
      <c r="K589" s="58"/>
      <c r="L589" s="58"/>
    </row>
    <row r="590" ht="50.25" customHeight="1">
      <c r="A590" s="40"/>
      <c r="B590" s="44" t="str">
        <f t="shared" si="1"/>
        <v>CNT</v>
      </c>
      <c r="C590" s="46"/>
      <c r="D590" s="142"/>
      <c r="E590" s="146"/>
      <c r="F590" s="51"/>
      <c r="G590" s="52"/>
      <c r="H590" s="58"/>
      <c r="I590" s="54"/>
      <c r="J590" s="55"/>
      <c r="K590" s="58"/>
      <c r="L590" s="58"/>
    </row>
    <row r="591" ht="50.25" customHeight="1">
      <c r="A591" s="40"/>
      <c r="B591" s="44" t="str">
        <f t="shared" si="1"/>
        <v>CNT</v>
      </c>
      <c r="C591" s="46"/>
      <c r="D591" s="142"/>
      <c r="E591" s="146"/>
      <c r="F591" s="51"/>
      <c r="G591" s="52"/>
      <c r="H591" s="58"/>
      <c r="I591" s="54"/>
      <c r="J591" s="55"/>
      <c r="K591" s="58"/>
      <c r="L591" s="58"/>
    </row>
    <row r="592" ht="50.25" customHeight="1">
      <c r="A592" s="40"/>
      <c r="B592" s="44" t="str">
        <f t="shared" si="1"/>
        <v>CNT</v>
      </c>
      <c r="C592" s="46"/>
      <c r="D592" s="142"/>
      <c r="E592" s="146"/>
      <c r="F592" s="51"/>
      <c r="G592" s="52"/>
      <c r="H592" s="58"/>
      <c r="I592" s="54"/>
      <c r="J592" s="55"/>
      <c r="K592" s="58"/>
      <c r="L592" s="58"/>
    </row>
    <row r="593" ht="50.25" customHeight="1">
      <c r="A593" s="40"/>
      <c r="B593" s="44" t="str">
        <f t="shared" si="1"/>
        <v>CNT</v>
      </c>
      <c r="C593" s="46"/>
      <c r="D593" s="142"/>
      <c r="E593" s="146"/>
      <c r="F593" s="51"/>
      <c r="G593" s="52"/>
      <c r="H593" s="58"/>
      <c r="I593" s="54"/>
      <c r="J593" s="55"/>
      <c r="K593" s="58"/>
      <c r="L593" s="58"/>
    </row>
    <row r="594" ht="50.25" customHeight="1">
      <c r="A594" s="40"/>
      <c r="B594" s="44" t="str">
        <f t="shared" si="1"/>
        <v>CNT</v>
      </c>
      <c r="C594" s="46"/>
      <c r="D594" s="142"/>
      <c r="E594" s="146"/>
      <c r="F594" s="51"/>
      <c r="G594" s="52"/>
      <c r="H594" s="58"/>
      <c r="I594" s="54"/>
      <c r="J594" s="55"/>
      <c r="K594" s="58"/>
      <c r="L594" s="58"/>
    </row>
    <row r="595" ht="50.25" customHeight="1">
      <c r="A595" s="40"/>
      <c r="B595" s="44" t="str">
        <f t="shared" si="1"/>
        <v>CNT</v>
      </c>
      <c r="C595" s="46"/>
      <c r="D595" s="142"/>
      <c r="E595" s="146"/>
      <c r="F595" s="51"/>
      <c r="G595" s="52"/>
      <c r="H595" s="58"/>
      <c r="I595" s="54"/>
      <c r="J595" s="55"/>
      <c r="K595" s="58"/>
      <c r="L595" s="58"/>
    </row>
    <row r="596" ht="50.25" customHeight="1">
      <c r="A596" s="40"/>
      <c r="B596" s="44" t="str">
        <f t="shared" si="1"/>
        <v>CNT</v>
      </c>
      <c r="C596" s="46"/>
      <c r="D596" s="142"/>
      <c r="E596" s="146"/>
      <c r="F596" s="51"/>
      <c r="G596" s="52"/>
      <c r="H596" s="58"/>
      <c r="I596" s="54"/>
      <c r="J596" s="55"/>
      <c r="K596" s="58"/>
      <c r="L596" s="58"/>
    </row>
    <row r="597" ht="50.25" customHeight="1">
      <c r="A597" s="40"/>
      <c r="B597" s="44" t="str">
        <f t="shared" si="1"/>
        <v>CNT</v>
      </c>
      <c r="C597" s="46"/>
      <c r="D597" s="142"/>
      <c r="E597" s="146"/>
      <c r="F597" s="51"/>
      <c r="G597" s="52"/>
      <c r="H597" s="58"/>
      <c r="I597" s="54"/>
      <c r="J597" s="55"/>
      <c r="K597" s="58"/>
      <c r="L597" s="58"/>
    </row>
    <row r="598" ht="50.25" customHeight="1">
      <c r="A598" s="40"/>
      <c r="B598" s="44" t="str">
        <f t="shared" si="1"/>
        <v>CNT</v>
      </c>
      <c r="C598" s="46"/>
      <c r="D598" s="142"/>
      <c r="E598" s="146"/>
      <c r="F598" s="51"/>
      <c r="G598" s="52"/>
      <c r="H598" s="58"/>
      <c r="I598" s="54"/>
      <c r="J598" s="55"/>
      <c r="K598" s="58"/>
      <c r="L598" s="58"/>
    </row>
    <row r="599" ht="50.25" customHeight="1">
      <c r="A599" s="40"/>
      <c r="B599" s="44" t="str">
        <f t="shared" si="1"/>
        <v>CNT</v>
      </c>
      <c r="C599" s="46"/>
      <c r="D599" s="142"/>
      <c r="E599" s="146"/>
      <c r="F599" s="51"/>
      <c r="G599" s="52"/>
      <c r="H599" s="58"/>
      <c r="I599" s="54"/>
      <c r="J599" s="55"/>
      <c r="K599" s="58"/>
      <c r="L599" s="58"/>
    </row>
    <row r="600" ht="50.25" customHeight="1">
      <c r="A600" s="40"/>
      <c r="B600" s="44" t="str">
        <f t="shared" si="1"/>
        <v>CNT</v>
      </c>
      <c r="C600" s="46"/>
      <c r="D600" s="142"/>
      <c r="E600" s="146"/>
      <c r="F600" s="51"/>
      <c r="G600" s="52"/>
      <c r="H600" s="58"/>
      <c r="I600" s="54"/>
      <c r="J600" s="55"/>
      <c r="K600" s="58"/>
      <c r="L600" s="58"/>
    </row>
    <row r="601" ht="50.25" customHeight="1">
      <c r="A601" s="40"/>
      <c r="B601" s="44" t="str">
        <f t="shared" si="1"/>
        <v>CNT</v>
      </c>
      <c r="C601" s="46"/>
      <c r="D601" s="142"/>
      <c r="E601" s="146"/>
      <c r="F601" s="51"/>
      <c r="G601" s="52"/>
      <c r="H601" s="58"/>
      <c r="I601" s="54"/>
      <c r="J601" s="55"/>
      <c r="K601" s="58"/>
      <c r="L601" s="58"/>
    </row>
    <row r="602" ht="50.25" customHeight="1">
      <c r="A602" s="40"/>
      <c r="B602" s="44" t="str">
        <f t="shared" si="1"/>
        <v>CNT</v>
      </c>
      <c r="C602" s="46"/>
      <c r="D602" s="142"/>
      <c r="E602" s="146"/>
      <c r="F602" s="51"/>
      <c r="G602" s="52"/>
      <c r="H602" s="58"/>
      <c r="I602" s="54"/>
      <c r="J602" s="55"/>
      <c r="K602" s="58"/>
      <c r="L602" s="58"/>
    </row>
    <row r="603" ht="50.25" customHeight="1">
      <c r="A603" s="40"/>
      <c r="B603" s="44" t="str">
        <f t="shared" si="1"/>
        <v>CNT</v>
      </c>
      <c r="C603" s="46"/>
      <c r="D603" s="142"/>
      <c r="E603" s="146"/>
      <c r="F603" s="51"/>
      <c r="G603" s="52"/>
      <c r="H603" s="58"/>
      <c r="I603" s="54"/>
      <c r="J603" s="55"/>
      <c r="K603" s="58"/>
      <c r="L603" s="58"/>
    </row>
    <row r="604" ht="50.25" customHeight="1">
      <c r="A604" s="40"/>
      <c r="B604" s="44" t="str">
        <f t="shared" si="1"/>
        <v>CNT</v>
      </c>
      <c r="C604" s="46"/>
      <c r="D604" s="142"/>
      <c r="E604" s="146"/>
      <c r="F604" s="51"/>
      <c r="G604" s="52"/>
      <c r="H604" s="58"/>
      <c r="I604" s="54"/>
      <c r="J604" s="55"/>
      <c r="K604" s="58"/>
      <c r="L604" s="58"/>
    </row>
    <row r="605" ht="50.25" customHeight="1">
      <c r="A605" s="40"/>
      <c r="B605" s="44" t="str">
        <f t="shared" si="1"/>
        <v>CNT</v>
      </c>
      <c r="C605" s="46"/>
      <c r="D605" s="142"/>
      <c r="E605" s="146"/>
      <c r="F605" s="51"/>
      <c r="G605" s="52"/>
      <c r="H605" s="58"/>
      <c r="I605" s="54"/>
      <c r="J605" s="55"/>
      <c r="K605" s="58"/>
      <c r="L605" s="58"/>
    </row>
    <row r="606" ht="50.25" customHeight="1">
      <c r="A606" s="40"/>
      <c r="B606" s="44" t="str">
        <f t="shared" si="1"/>
        <v>CNT</v>
      </c>
      <c r="C606" s="46"/>
      <c r="D606" s="142"/>
      <c r="E606" s="146"/>
      <c r="F606" s="51"/>
      <c r="G606" s="52"/>
      <c r="H606" s="58"/>
      <c r="I606" s="54"/>
      <c r="J606" s="55"/>
      <c r="K606" s="58"/>
      <c r="L606" s="58"/>
    </row>
    <row r="607" ht="50.25" customHeight="1">
      <c r="A607" s="40"/>
      <c r="B607" s="44" t="str">
        <f t="shared" si="1"/>
        <v>CNT</v>
      </c>
      <c r="C607" s="46"/>
      <c r="D607" s="142"/>
      <c r="E607" s="146"/>
      <c r="F607" s="51"/>
      <c r="G607" s="52"/>
      <c r="H607" s="58"/>
      <c r="I607" s="54"/>
      <c r="J607" s="55"/>
      <c r="K607" s="58"/>
      <c r="L607" s="58"/>
    </row>
    <row r="608" ht="50.25" customHeight="1">
      <c r="A608" s="40"/>
      <c r="B608" s="44" t="str">
        <f t="shared" si="1"/>
        <v>CNT</v>
      </c>
      <c r="C608" s="46"/>
      <c r="D608" s="142"/>
      <c r="E608" s="146"/>
      <c r="F608" s="51"/>
      <c r="G608" s="52"/>
      <c r="H608" s="58"/>
      <c r="I608" s="54"/>
      <c r="J608" s="55"/>
      <c r="K608" s="58"/>
      <c r="L608" s="58"/>
    </row>
    <row r="609" ht="50.25" customHeight="1">
      <c r="A609" s="40"/>
      <c r="B609" s="44" t="str">
        <f t="shared" si="1"/>
        <v>CNT</v>
      </c>
      <c r="C609" s="46"/>
      <c r="D609" s="142"/>
      <c r="E609" s="146"/>
      <c r="F609" s="51"/>
      <c r="G609" s="52"/>
      <c r="H609" s="58"/>
      <c r="I609" s="54"/>
      <c r="J609" s="55"/>
      <c r="K609" s="58"/>
      <c r="L609" s="58"/>
    </row>
    <row r="610" ht="50.25" customHeight="1">
      <c r="A610" s="40"/>
      <c r="B610" s="44" t="str">
        <f t="shared" si="1"/>
        <v>CNT</v>
      </c>
      <c r="C610" s="46"/>
      <c r="D610" s="142"/>
      <c r="E610" s="146"/>
      <c r="F610" s="51"/>
      <c r="G610" s="52"/>
      <c r="H610" s="58"/>
      <c r="I610" s="54"/>
      <c r="J610" s="55"/>
      <c r="K610" s="58"/>
      <c r="L610" s="58"/>
    </row>
    <row r="611" ht="50.25" customHeight="1">
      <c r="A611" s="40"/>
      <c r="B611" s="44" t="str">
        <f t="shared" si="1"/>
        <v>CNT</v>
      </c>
      <c r="C611" s="46"/>
      <c r="D611" s="142"/>
      <c r="E611" s="146"/>
      <c r="F611" s="51"/>
      <c r="G611" s="52"/>
      <c r="H611" s="58"/>
      <c r="I611" s="54"/>
      <c r="J611" s="55"/>
      <c r="K611" s="58"/>
      <c r="L611" s="58"/>
    </row>
    <row r="612" ht="50.25" customHeight="1">
      <c r="A612" s="40"/>
      <c r="B612" s="44" t="str">
        <f t="shared" si="1"/>
        <v>CNT</v>
      </c>
      <c r="C612" s="46"/>
      <c r="D612" s="142"/>
      <c r="E612" s="146"/>
      <c r="F612" s="51"/>
      <c r="G612" s="52"/>
      <c r="H612" s="58"/>
      <c r="I612" s="54"/>
      <c r="J612" s="55"/>
      <c r="K612" s="58"/>
      <c r="L612" s="58"/>
    </row>
    <row r="613" ht="50.25" customHeight="1">
      <c r="A613" s="40"/>
      <c r="B613" s="44" t="str">
        <f t="shared" si="1"/>
        <v>CNT</v>
      </c>
      <c r="C613" s="46"/>
      <c r="D613" s="142"/>
      <c r="E613" s="146"/>
      <c r="F613" s="51"/>
      <c r="G613" s="52"/>
      <c r="H613" s="58"/>
      <c r="I613" s="54"/>
      <c r="J613" s="55"/>
      <c r="K613" s="58"/>
      <c r="L613" s="58"/>
    </row>
    <row r="614" ht="50.25" customHeight="1">
      <c r="A614" s="40"/>
      <c r="B614" s="44" t="str">
        <f t="shared" si="1"/>
        <v>CNT</v>
      </c>
      <c r="C614" s="46"/>
      <c r="D614" s="142"/>
      <c r="E614" s="146"/>
      <c r="F614" s="51"/>
      <c r="G614" s="52"/>
      <c r="H614" s="58"/>
      <c r="I614" s="54"/>
      <c r="J614" s="55"/>
      <c r="K614" s="58"/>
      <c r="L614" s="58"/>
    </row>
    <row r="615" ht="50.25" customHeight="1">
      <c r="A615" s="40"/>
      <c r="B615" s="44" t="str">
        <f t="shared" si="1"/>
        <v>CNT</v>
      </c>
      <c r="C615" s="46"/>
      <c r="D615" s="142"/>
      <c r="E615" s="146"/>
      <c r="F615" s="51"/>
      <c r="G615" s="52"/>
      <c r="H615" s="58"/>
      <c r="I615" s="54"/>
      <c r="J615" s="55"/>
      <c r="K615" s="58"/>
      <c r="L615" s="58"/>
    </row>
    <row r="616" ht="50.25" customHeight="1">
      <c r="A616" s="40"/>
      <c r="B616" s="44" t="str">
        <f t="shared" si="1"/>
        <v>CNT</v>
      </c>
      <c r="C616" s="46"/>
      <c r="D616" s="142"/>
      <c r="E616" s="146"/>
      <c r="F616" s="51"/>
      <c r="G616" s="52"/>
      <c r="H616" s="58"/>
      <c r="I616" s="54"/>
      <c r="J616" s="55"/>
      <c r="K616" s="58"/>
      <c r="L616" s="58"/>
    </row>
    <row r="617" ht="50.25" customHeight="1">
      <c r="A617" s="40"/>
      <c r="B617" s="44" t="str">
        <f t="shared" si="1"/>
        <v>CNT</v>
      </c>
      <c r="C617" s="46"/>
      <c r="D617" s="142"/>
      <c r="E617" s="146"/>
      <c r="F617" s="51"/>
      <c r="G617" s="52"/>
      <c r="H617" s="58"/>
      <c r="I617" s="54"/>
      <c r="J617" s="55"/>
      <c r="K617" s="58"/>
      <c r="L617" s="58"/>
    </row>
    <row r="618" ht="50.25" customHeight="1">
      <c r="A618" s="40"/>
      <c r="B618" s="44" t="str">
        <f t="shared" si="1"/>
        <v>CNT</v>
      </c>
      <c r="C618" s="46"/>
      <c r="D618" s="142"/>
      <c r="E618" s="146"/>
      <c r="F618" s="51"/>
      <c r="G618" s="52"/>
      <c r="H618" s="58"/>
      <c r="I618" s="54"/>
      <c r="J618" s="55"/>
      <c r="K618" s="58"/>
      <c r="L618" s="58"/>
    </row>
    <row r="619" ht="50.25" customHeight="1">
      <c r="A619" s="40"/>
      <c r="B619" s="44" t="str">
        <f t="shared" si="1"/>
        <v>CNT</v>
      </c>
      <c r="C619" s="46"/>
      <c r="D619" s="142"/>
      <c r="E619" s="146"/>
      <c r="F619" s="51"/>
      <c r="G619" s="52"/>
      <c r="H619" s="58"/>
      <c r="I619" s="54"/>
      <c r="J619" s="55"/>
      <c r="K619" s="58"/>
      <c r="L619" s="58"/>
    </row>
    <row r="620" ht="50.25" customHeight="1">
      <c r="A620" s="40"/>
      <c r="B620" s="44" t="str">
        <f t="shared" si="1"/>
        <v>CNT</v>
      </c>
      <c r="C620" s="46"/>
      <c r="D620" s="142"/>
      <c r="E620" s="146"/>
      <c r="F620" s="51"/>
      <c r="G620" s="52"/>
      <c r="H620" s="58"/>
      <c r="I620" s="54"/>
      <c r="J620" s="55"/>
      <c r="K620" s="58"/>
      <c r="L620" s="58"/>
    </row>
    <row r="621" ht="50.25" customHeight="1">
      <c r="A621" s="40"/>
      <c r="B621" s="44" t="str">
        <f t="shared" si="1"/>
        <v>CNT</v>
      </c>
      <c r="C621" s="46"/>
      <c r="D621" s="142"/>
      <c r="E621" s="146"/>
      <c r="F621" s="51"/>
      <c r="G621" s="52"/>
      <c r="H621" s="58"/>
      <c r="I621" s="54"/>
      <c r="J621" s="55"/>
      <c r="K621" s="58"/>
      <c r="L621" s="58"/>
    </row>
    <row r="622" ht="50.25" customHeight="1">
      <c r="A622" s="40"/>
      <c r="B622" s="44" t="str">
        <f t="shared" si="1"/>
        <v>CNT</v>
      </c>
      <c r="C622" s="46"/>
      <c r="D622" s="142"/>
      <c r="E622" s="146"/>
      <c r="F622" s="51"/>
      <c r="G622" s="52"/>
      <c r="H622" s="58"/>
      <c r="I622" s="54"/>
      <c r="J622" s="55"/>
      <c r="K622" s="58"/>
      <c r="L622" s="58"/>
    </row>
    <row r="623" ht="50.25" customHeight="1">
      <c r="A623" s="40"/>
      <c r="B623" s="44" t="str">
        <f t="shared" si="1"/>
        <v>CNT</v>
      </c>
      <c r="C623" s="46"/>
      <c r="D623" s="142"/>
      <c r="E623" s="146"/>
      <c r="F623" s="51"/>
      <c r="G623" s="52"/>
      <c r="H623" s="58"/>
      <c r="I623" s="54"/>
      <c r="J623" s="55"/>
      <c r="K623" s="58"/>
      <c r="L623" s="58"/>
    </row>
    <row r="624" ht="50.25" customHeight="1">
      <c r="A624" s="40"/>
      <c r="B624" s="44" t="str">
        <f t="shared" si="1"/>
        <v>CNT</v>
      </c>
      <c r="C624" s="46"/>
      <c r="D624" s="142"/>
      <c r="E624" s="146"/>
      <c r="F624" s="51"/>
      <c r="G624" s="52"/>
      <c r="H624" s="58"/>
      <c r="I624" s="54"/>
      <c r="J624" s="55"/>
      <c r="K624" s="58"/>
      <c r="L624" s="58"/>
    </row>
    <row r="625" ht="50.25" customHeight="1">
      <c r="A625" s="40"/>
      <c r="B625" s="44" t="str">
        <f t="shared" si="1"/>
        <v>CNT</v>
      </c>
      <c r="C625" s="46"/>
      <c r="D625" s="142"/>
      <c r="E625" s="146"/>
      <c r="F625" s="51"/>
      <c r="G625" s="52"/>
      <c r="H625" s="58"/>
      <c r="I625" s="54"/>
      <c r="J625" s="55"/>
      <c r="K625" s="58"/>
      <c r="L625" s="58"/>
    </row>
    <row r="626" ht="50.25" customHeight="1">
      <c r="A626" s="40"/>
      <c r="B626" s="44" t="str">
        <f t="shared" si="1"/>
        <v>CNT</v>
      </c>
      <c r="C626" s="46"/>
      <c r="D626" s="142"/>
      <c r="E626" s="146"/>
      <c r="F626" s="51"/>
      <c r="G626" s="52"/>
      <c r="H626" s="58"/>
      <c r="I626" s="54"/>
      <c r="J626" s="55"/>
      <c r="K626" s="58"/>
      <c r="L626" s="58"/>
    </row>
    <row r="627" ht="50.25" customHeight="1">
      <c r="A627" s="40"/>
      <c r="B627" s="44" t="str">
        <f t="shared" si="1"/>
        <v>CNT</v>
      </c>
      <c r="C627" s="46"/>
      <c r="D627" s="142"/>
      <c r="E627" s="146"/>
      <c r="F627" s="51"/>
      <c r="G627" s="52"/>
      <c r="H627" s="58"/>
      <c r="I627" s="54"/>
      <c r="J627" s="55"/>
      <c r="K627" s="58"/>
      <c r="L627" s="58"/>
    </row>
    <row r="628" ht="50.25" customHeight="1">
      <c r="A628" s="40"/>
      <c r="B628" s="44" t="str">
        <f t="shared" si="1"/>
        <v>CNT</v>
      </c>
      <c r="C628" s="46"/>
      <c r="D628" s="142"/>
      <c r="E628" s="146"/>
      <c r="F628" s="51"/>
      <c r="G628" s="52"/>
      <c r="H628" s="58"/>
      <c r="I628" s="54"/>
      <c r="J628" s="55"/>
      <c r="K628" s="58"/>
      <c r="L628" s="58"/>
    </row>
    <row r="629" ht="50.25" customHeight="1">
      <c r="A629" s="40"/>
      <c r="B629" s="44" t="str">
        <f t="shared" si="1"/>
        <v>CNT</v>
      </c>
      <c r="C629" s="46"/>
      <c r="D629" s="142"/>
      <c r="E629" s="146"/>
      <c r="F629" s="51"/>
      <c r="G629" s="52"/>
      <c r="H629" s="58"/>
      <c r="I629" s="54"/>
      <c r="J629" s="55"/>
      <c r="K629" s="58"/>
      <c r="L629" s="58"/>
    </row>
    <row r="630" ht="50.25" customHeight="1">
      <c r="A630" s="40"/>
      <c r="B630" s="44" t="str">
        <f t="shared" si="1"/>
        <v>CNT</v>
      </c>
      <c r="C630" s="46"/>
      <c r="D630" s="142"/>
      <c r="E630" s="146"/>
      <c r="F630" s="51"/>
      <c r="G630" s="52"/>
      <c r="H630" s="58"/>
      <c r="I630" s="54"/>
      <c r="J630" s="55"/>
      <c r="K630" s="58"/>
      <c r="L630" s="58"/>
    </row>
    <row r="631" ht="50.25" customHeight="1">
      <c r="A631" s="40"/>
      <c r="B631" s="44" t="str">
        <f t="shared" si="1"/>
        <v>CNT</v>
      </c>
      <c r="C631" s="46"/>
      <c r="D631" s="142"/>
      <c r="E631" s="146"/>
      <c r="F631" s="51"/>
      <c r="G631" s="52"/>
      <c r="H631" s="58"/>
      <c r="I631" s="54"/>
      <c r="J631" s="55"/>
      <c r="K631" s="58"/>
      <c r="L631" s="58"/>
    </row>
    <row r="632" ht="50.25" customHeight="1">
      <c r="A632" s="40"/>
      <c r="B632" s="44" t="str">
        <f t="shared" si="1"/>
        <v>CNT</v>
      </c>
      <c r="C632" s="46"/>
      <c r="D632" s="142"/>
      <c r="E632" s="146"/>
      <c r="F632" s="51"/>
      <c r="G632" s="52"/>
      <c r="H632" s="58"/>
      <c r="I632" s="54"/>
      <c r="J632" s="55"/>
      <c r="K632" s="58"/>
      <c r="L632" s="58"/>
    </row>
    <row r="633" ht="50.25" customHeight="1">
      <c r="A633" s="40"/>
      <c r="B633" s="44" t="str">
        <f t="shared" si="1"/>
        <v>CNT</v>
      </c>
      <c r="C633" s="46"/>
      <c r="D633" s="142"/>
      <c r="E633" s="146"/>
      <c r="F633" s="51"/>
      <c r="G633" s="52"/>
      <c r="H633" s="58"/>
      <c r="I633" s="54"/>
      <c r="J633" s="55"/>
      <c r="K633" s="58"/>
      <c r="L633" s="58"/>
    </row>
    <row r="634" ht="50.25" customHeight="1">
      <c r="A634" s="40"/>
      <c r="B634" s="44" t="str">
        <f t="shared" si="1"/>
        <v>CNT</v>
      </c>
      <c r="C634" s="46"/>
      <c r="D634" s="142"/>
      <c r="E634" s="146"/>
      <c r="F634" s="51"/>
      <c r="G634" s="52"/>
      <c r="H634" s="58"/>
      <c r="I634" s="54"/>
      <c r="J634" s="55"/>
      <c r="K634" s="58"/>
      <c r="L634" s="58"/>
    </row>
    <row r="635" ht="50.25" customHeight="1">
      <c r="A635" s="40"/>
      <c r="B635" s="44" t="str">
        <f t="shared" si="1"/>
        <v>CNT</v>
      </c>
      <c r="C635" s="46"/>
      <c r="D635" s="142"/>
      <c r="E635" s="146"/>
      <c r="F635" s="51"/>
      <c r="G635" s="52"/>
      <c r="H635" s="58"/>
      <c r="I635" s="54"/>
      <c r="J635" s="55"/>
      <c r="K635" s="58"/>
      <c r="L635" s="58"/>
    </row>
    <row r="636" ht="50.25" customHeight="1">
      <c r="A636" s="40"/>
      <c r="B636" s="44" t="str">
        <f t="shared" si="1"/>
        <v>CNT</v>
      </c>
      <c r="C636" s="46"/>
      <c r="D636" s="142"/>
      <c r="E636" s="146"/>
      <c r="F636" s="51"/>
      <c r="G636" s="52"/>
      <c r="H636" s="58"/>
      <c r="I636" s="54"/>
      <c r="J636" s="55"/>
      <c r="K636" s="58"/>
      <c r="L636" s="58"/>
    </row>
    <row r="637" ht="50.25" customHeight="1">
      <c r="A637" s="40"/>
      <c r="B637" s="44" t="str">
        <f t="shared" si="1"/>
        <v>CNT</v>
      </c>
      <c r="C637" s="46"/>
      <c r="D637" s="142"/>
      <c r="E637" s="146"/>
      <c r="F637" s="51"/>
      <c r="G637" s="52"/>
      <c r="H637" s="58"/>
      <c r="I637" s="54"/>
      <c r="J637" s="55"/>
      <c r="K637" s="58"/>
      <c r="L637" s="58"/>
    </row>
    <row r="638" ht="50.25" customHeight="1">
      <c r="A638" s="40"/>
      <c r="B638" s="44" t="str">
        <f t="shared" si="1"/>
        <v>CNT</v>
      </c>
      <c r="C638" s="46"/>
      <c r="D638" s="142"/>
      <c r="E638" s="146"/>
      <c r="F638" s="51"/>
      <c r="G638" s="52"/>
      <c r="H638" s="58"/>
      <c r="I638" s="54"/>
      <c r="J638" s="55"/>
      <c r="K638" s="58"/>
      <c r="L638" s="58"/>
    </row>
    <row r="639" ht="50.25" customHeight="1">
      <c r="A639" s="40"/>
      <c r="B639" s="44" t="str">
        <f t="shared" si="1"/>
        <v>CNT</v>
      </c>
      <c r="C639" s="46"/>
      <c r="D639" s="142"/>
      <c r="E639" s="146"/>
      <c r="F639" s="51"/>
      <c r="G639" s="52"/>
      <c r="H639" s="58"/>
      <c r="I639" s="54"/>
      <c r="J639" s="55"/>
      <c r="K639" s="58"/>
      <c r="L639" s="58"/>
    </row>
    <row r="640" ht="50.25" customHeight="1">
      <c r="A640" s="40"/>
      <c r="B640" s="44" t="str">
        <f t="shared" si="1"/>
        <v>CNT</v>
      </c>
      <c r="C640" s="46"/>
      <c r="D640" s="142"/>
      <c r="E640" s="146"/>
      <c r="F640" s="51"/>
      <c r="G640" s="52"/>
      <c r="H640" s="58"/>
      <c r="I640" s="54"/>
      <c r="J640" s="55"/>
      <c r="K640" s="58"/>
      <c r="L640" s="58"/>
    </row>
    <row r="641" ht="50.25" customHeight="1">
      <c r="A641" s="40"/>
      <c r="B641" s="44" t="str">
        <f t="shared" si="1"/>
        <v>CNT</v>
      </c>
      <c r="C641" s="46"/>
      <c r="D641" s="142"/>
      <c r="E641" s="146"/>
      <c r="F641" s="51"/>
      <c r="G641" s="52"/>
      <c r="H641" s="58"/>
      <c r="I641" s="54"/>
      <c r="J641" s="55"/>
      <c r="K641" s="58"/>
      <c r="L641" s="58"/>
    </row>
    <row r="642" ht="50.25" customHeight="1">
      <c r="A642" s="40"/>
      <c r="B642" s="44" t="str">
        <f t="shared" si="1"/>
        <v>CNT</v>
      </c>
      <c r="C642" s="46"/>
      <c r="D642" s="142"/>
      <c r="E642" s="146"/>
      <c r="F642" s="51"/>
      <c r="G642" s="52"/>
      <c r="H642" s="58"/>
      <c r="I642" s="54"/>
      <c r="J642" s="55"/>
      <c r="K642" s="58"/>
      <c r="L642" s="58"/>
    </row>
    <row r="643" ht="50.25" customHeight="1">
      <c r="A643" s="40"/>
      <c r="B643" s="44" t="str">
        <f t="shared" si="1"/>
        <v>CNT</v>
      </c>
      <c r="C643" s="46"/>
      <c r="D643" s="142"/>
      <c r="E643" s="146"/>
      <c r="F643" s="51"/>
      <c r="G643" s="52"/>
      <c r="H643" s="58"/>
      <c r="I643" s="54"/>
      <c r="J643" s="55"/>
      <c r="K643" s="58"/>
      <c r="L643" s="58"/>
    </row>
    <row r="644" ht="50.25" customHeight="1">
      <c r="A644" s="40"/>
      <c r="B644" s="44" t="str">
        <f t="shared" si="1"/>
        <v>CNT</v>
      </c>
      <c r="C644" s="46"/>
      <c r="D644" s="142"/>
      <c r="E644" s="146"/>
      <c r="F644" s="51"/>
      <c r="G644" s="52"/>
      <c r="H644" s="58"/>
      <c r="I644" s="54"/>
      <c r="J644" s="55"/>
      <c r="K644" s="58"/>
      <c r="L644" s="58"/>
    </row>
    <row r="645" ht="50.25" customHeight="1">
      <c r="A645" s="40"/>
      <c r="B645" s="44" t="str">
        <f t="shared" si="1"/>
        <v>CNT</v>
      </c>
      <c r="C645" s="46"/>
      <c r="D645" s="142"/>
      <c r="E645" s="146"/>
      <c r="F645" s="51"/>
      <c r="G645" s="52"/>
      <c r="H645" s="58"/>
      <c r="I645" s="54"/>
      <c r="J645" s="55"/>
      <c r="K645" s="58"/>
      <c r="L645" s="58"/>
    </row>
    <row r="646" ht="50.25" customHeight="1">
      <c r="A646" s="40"/>
      <c r="B646" s="44" t="str">
        <f t="shared" si="1"/>
        <v>CNT</v>
      </c>
      <c r="C646" s="46"/>
      <c r="D646" s="142"/>
      <c r="E646" s="146"/>
      <c r="F646" s="51"/>
      <c r="G646" s="52"/>
      <c r="H646" s="58"/>
      <c r="I646" s="54"/>
      <c r="J646" s="55"/>
      <c r="K646" s="58"/>
      <c r="L646" s="58"/>
    </row>
    <row r="647" ht="50.25" customHeight="1">
      <c r="A647" s="40"/>
      <c r="B647" s="44" t="str">
        <f t="shared" si="1"/>
        <v>CNT</v>
      </c>
      <c r="C647" s="46"/>
      <c r="D647" s="142"/>
      <c r="E647" s="146"/>
      <c r="F647" s="51"/>
      <c r="G647" s="52"/>
      <c r="H647" s="58"/>
      <c r="I647" s="54"/>
      <c r="J647" s="55"/>
      <c r="K647" s="58"/>
      <c r="L647" s="58"/>
    </row>
    <row r="648" ht="50.25" customHeight="1">
      <c r="A648" s="40"/>
      <c r="B648" s="44" t="str">
        <f t="shared" si="1"/>
        <v>CNT</v>
      </c>
      <c r="C648" s="46"/>
      <c r="D648" s="142"/>
      <c r="E648" s="146"/>
      <c r="F648" s="51"/>
      <c r="G648" s="52"/>
      <c r="H648" s="58"/>
      <c r="I648" s="54"/>
      <c r="J648" s="55"/>
      <c r="K648" s="58"/>
      <c r="L648" s="58"/>
    </row>
    <row r="649" ht="50.25" customHeight="1">
      <c r="A649" s="40"/>
      <c r="B649" s="44" t="str">
        <f t="shared" si="1"/>
        <v>CNT</v>
      </c>
      <c r="C649" s="46"/>
      <c r="D649" s="142"/>
      <c r="E649" s="146"/>
      <c r="F649" s="51"/>
      <c r="G649" s="52"/>
      <c r="H649" s="58"/>
      <c r="I649" s="54"/>
      <c r="J649" s="55"/>
      <c r="K649" s="58"/>
      <c r="L649" s="58"/>
    </row>
    <row r="650" ht="50.25" customHeight="1">
      <c r="A650" s="40"/>
      <c r="B650" s="44" t="str">
        <f t="shared" si="1"/>
        <v>CNT</v>
      </c>
      <c r="C650" s="46"/>
      <c r="D650" s="142"/>
      <c r="E650" s="146"/>
      <c r="F650" s="51"/>
      <c r="G650" s="52"/>
      <c r="H650" s="58"/>
      <c r="I650" s="54"/>
      <c r="J650" s="55"/>
      <c r="K650" s="58"/>
      <c r="L650" s="58"/>
    </row>
    <row r="651" ht="50.25" customHeight="1">
      <c r="A651" s="40"/>
      <c r="B651" s="44" t="str">
        <f t="shared" si="1"/>
        <v>CNT</v>
      </c>
      <c r="C651" s="46"/>
      <c r="D651" s="142"/>
      <c r="E651" s="146"/>
      <c r="F651" s="51"/>
      <c r="G651" s="52"/>
      <c r="H651" s="58"/>
      <c r="I651" s="54"/>
      <c r="J651" s="55"/>
      <c r="K651" s="58"/>
      <c r="L651" s="58"/>
    </row>
    <row r="652" ht="50.25" customHeight="1">
      <c r="A652" s="40"/>
      <c r="B652" s="44" t="str">
        <f t="shared" si="1"/>
        <v>CNT</v>
      </c>
      <c r="C652" s="46"/>
      <c r="D652" s="142"/>
      <c r="E652" s="146"/>
      <c r="F652" s="51"/>
      <c r="G652" s="52"/>
      <c r="H652" s="58"/>
      <c r="I652" s="54"/>
      <c r="J652" s="55"/>
      <c r="K652" s="58"/>
      <c r="L652" s="58"/>
    </row>
    <row r="653" ht="50.25" customHeight="1">
      <c r="A653" s="40"/>
      <c r="B653" s="44" t="str">
        <f t="shared" si="1"/>
        <v>CNT</v>
      </c>
      <c r="C653" s="46"/>
      <c r="D653" s="142"/>
      <c r="E653" s="146"/>
      <c r="F653" s="51"/>
      <c r="G653" s="52"/>
      <c r="H653" s="58"/>
      <c r="I653" s="54"/>
      <c r="J653" s="55"/>
      <c r="K653" s="58"/>
      <c r="L653" s="58"/>
    </row>
    <row r="654" ht="50.25" customHeight="1">
      <c r="A654" s="40"/>
      <c r="B654" s="44" t="str">
        <f t="shared" si="1"/>
        <v>CNT</v>
      </c>
      <c r="C654" s="46"/>
      <c r="D654" s="142"/>
      <c r="E654" s="146"/>
      <c r="F654" s="51"/>
      <c r="G654" s="52"/>
      <c r="H654" s="58"/>
      <c r="I654" s="54"/>
      <c r="J654" s="55"/>
      <c r="K654" s="58"/>
      <c r="L654" s="58"/>
    </row>
    <row r="655" ht="50.25" customHeight="1">
      <c r="A655" s="40"/>
      <c r="B655" s="44" t="str">
        <f t="shared" si="1"/>
        <v>CNT</v>
      </c>
      <c r="C655" s="46"/>
      <c r="D655" s="142"/>
      <c r="E655" s="146"/>
      <c r="F655" s="51"/>
      <c r="G655" s="52"/>
      <c r="H655" s="58"/>
      <c r="I655" s="54"/>
      <c r="J655" s="55"/>
      <c r="K655" s="58"/>
      <c r="L655" s="58"/>
    </row>
    <row r="656" ht="50.25" customHeight="1">
      <c r="A656" s="40"/>
      <c r="B656" s="44" t="str">
        <f t="shared" si="1"/>
        <v>CNT</v>
      </c>
      <c r="C656" s="46"/>
      <c r="D656" s="142"/>
      <c r="E656" s="146"/>
      <c r="F656" s="51"/>
      <c r="G656" s="52"/>
      <c r="H656" s="58"/>
      <c r="I656" s="54"/>
      <c r="J656" s="55"/>
      <c r="K656" s="58"/>
      <c r="L656" s="58"/>
    </row>
    <row r="657" ht="50.25" customHeight="1">
      <c r="A657" s="40"/>
      <c r="B657" s="44" t="str">
        <f t="shared" si="1"/>
        <v>CNT</v>
      </c>
      <c r="C657" s="46"/>
      <c r="D657" s="142"/>
      <c r="E657" s="146"/>
      <c r="F657" s="51"/>
      <c r="G657" s="52"/>
      <c r="H657" s="58"/>
      <c r="I657" s="54"/>
      <c r="J657" s="55"/>
      <c r="K657" s="58"/>
      <c r="L657" s="58"/>
    </row>
    <row r="658" ht="50.25" customHeight="1">
      <c r="A658" s="40"/>
      <c r="B658" s="44" t="str">
        <f t="shared" si="1"/>
        <v>CNT</v>
      </c>
      <c r="C658" s="46"/>
      <c r="D658" s="142"/>
      <c r="E658" s="146"/>
      <c r="F658" s="51"/>
      <c r="G658" s="52"/>
      <c r="H658" s="58"/>
      <c r="I658" s="54"/>
      <c r="J658" s="55"/>
      <c r="K658" s="58"/>
      <c r="L658" s="58"/>
    </row>
    <row r="659" ht="50.25" customHeight="1">
      <c r="A659" s="40"/>
      <c r="B659" s="44" t="str">
        <f t="shared" si="1"/>
        <v>CNT</v>
      </c>
      <c r="C659" s="46"/>
      <c r="D659" s="142"/>
      <c r="E659" s="146"/>
      <c r="F659" s="51"/>
      <c r="G659" s="52"/>
      <c r="H659" s="58"/>
      <c r="I659" s="54"/>
      <c r="J659" s="55"/>
      <c r="K659" s="58"/>
      <c r="L659" s="58"/>
    </row>
    <row r="660" ht="50.25" customHeight="1">
      <c r="A660" s="40"/>
      <c r="B660" s="44" t="str">
        <f t="shared" si="1"/>
        <v>CNT</v>
      </c>
      <c r="C660" s="46"/>
      <c r="D660" s="142"/>
      <c r="E660" s="146"/>
      <c r="F660" s="51"/>
      <c r="G660" s="52"/>
      <c r="H660" s="58"/>
      <c r="I660" s="54"/>
      <c r="J660" s="55"/>
      <c r="K660" s="58"/>
      <c r="L660" s="58"/>
    </row>
    <row r="661" ht="50.25" customHeight="1">
      <c r="A661" s="40"/>
      <c r="B661" s="44" t="str">
        <f t="shared" si="1"/>
        <v>CNT</v>
      </c>
      <c r="C661" s="46"/>
      <c r="D661" s="142"/>
      <c r="E661" s="146"/>
      <c r="F661" s="51"/>
      <c r="G661" s="52"/>
      <c r="H661" s="58"/>
      <c r="I661" s="54"/>
      <c r="J661" s="55"/>
      <c r="K661" s="58"/>
      <c r="L661" s="58"/>
    </row>
    <row r="662" ht="50.25" customHeight="1">
      <c r="A662" s="40"/>
      <c r="B662" s="44" t="str">
        <f t="shared" si="1"/>
        <v>CNT</v>
      </c>
      <c r="C662" s="46"/>
      <c r="D662" s="142"/>
      <c r="E662" s="146"/>
      <c r="F662" s="51"/>
      <c r="G662" s="52"/>
      <c r="H662" s="58"/>
      <c r="I662" s="54"/>
      <c r="J662" s="55"/>
      <c r="K662" s="58"/>
      <c r="L662" s="58"/>
    </row>
    <row r="663" ht="50.25" customHeight="1">
      <c r="A663" s="40"/>
      <c r="B663" s="44" t="str">
        <f t="shared" si="1"/>
        <v>CNT</v>
      </c>
      <c r="C663" s="46"/>
      <c r="D663" s="142"/>
      <c r="E663" s="146"/>
      <c r="F663" s="51"/>
      <c r="G663" s="52"/>
      <c r="H663" s="58"/>
      <c r="I663" s="54"/>
      <c r="J663" s="55"/>
      <c r="K663" s="58"/>
      <c r="L663" s="58"/>
    </row>
    <row r="664" ht="50.25" customHeight="1">
      <c r="A664" s="40"/>
      <c r="B664" s="44" t="str">
        <f t="shared" si="1"/>
        <v>CNT</v>
      </c>
      <c r="C664" s="46"/>
      <c r="D664" s="142"/>
      <c r="E664" s="146"/>
      <c r="F664" s="51"/>
      <c r="G664" s="52"/>
      <c r="H664" s="58"/>
      <c r="I664" s="54"/>
      <c r="J664" s="55"/>
      <c r="K664" s="58"/>
      <c r="L664" s="58"/>
    </row>
    <row r="665" ht="50.25" customHeight="1">
      <c r="A665" s="40"/>
      <c r="B665" s="44" t="str">
        <f t="shared" si="1"/>
        <v>CNT</v>
      </c>
      <c r="C665" s="46"/>
      <c r="D665" s="142"/>
      <c r="E665" s="146"/>
      <c r="F665" s="51"/>
      <c r="G665" s="52"/>
      <c r="H665" s="58"/>
      <c r="I665" s="54"/>
      <c r="J665" s="55"/>
      <c r="K665" s="58"/>
      <c r="L665" s="58"/>
    </row>
    <row r="666" ht="50.25" customHeight="1">
      <c r="A666" s="40"/>
      <c r="B666" s="44" t="str">
        <f t="shared" si="1"/>
        <v>CNT</v>
      </c>
      <c r="C666" s="46"/>
      <c r="D666" s="142"/>
      <c r="E666" s="146"/>
      <c r="F666" s="51"/>
      <c r="G666" s="52"/>
      <c r="H666" s="58"/>
      <c r="I666" s="54"/>
      <c r="J666" s="55"/>
      <c r="K666" s="58"/>
      <c r="L666" s="58"/>
    </row>
    <row r="667" ht="50.25" customHeight="1">
      <c r="A667" s="40"/>
      <c r="B667" s="44" t="str">
        <f t="shared" si="1"/>
        <v>CNT</v>
      </c>
      <c r="C667" s="46"/>
      <c r="D667" s="142"/>
      <c r="E667" s="146"/>
      <c r="F667" s="51"/>
      <c r="G667" s="52"/>
      <c r="H667" s="58"/>
      <c r="I667" s="54"/>
      <c r="J667" s="55"/>
      <c r="K667" s="58"/>
      <c r="L667" s="58"/>
    </row>
    <row r="668" ht="50.25" customHeight="1">
      <c r="A668" s="40"/>
      <c r="B668" s="44" t="str">
        <f t="shared" si="1"/>
        <v>CNT</v>
      </c>
      <c r="C668" s="46"/>
      <c r="D668" s="142"/>
      <c r="E668" s="146"/>
      <c r="F668" s="51"/>
      <c r="G668" s="52"/>
      <c r="H668" s="58"/>
      <c r="I668" s="54"/>
      <c r="J668" s="55"/>
      <c r="K668" s="58"/>
      <c r="L668" s="58"/>
    </row>
    <row r="669" ht="50.25" customHeight="1">
      <c r="A669" s="40"/>
      <c r="B669" s="44" t="str">
        <f t="shared" si="1"/>
        <v>CNT</v>
      </c>
      <c r="C669" s="46"/>
      <c r="D669" s="142"/>
      <c r="E669" s="146"/>
      <c r="F669" s="51"/>
      <c r="G669" s="52"/>
      <c r="H669" s="58"/>
      <c r="I669" s="54"/>
      <c r="J669" s="55"/>
      <c r="K669" s="58"/>
      <c r="L669" s="58"/>
    </row>
    <row r="670" ht="50.25" customHeight="1">
      <c r="A670" s="40"/>
      <c r="B670" s="44" t="str">
        <f t="shared" si="1"/>
        <v>CNT</v>
      </c>
      <c r="C670" s="46"/>
      <c r="D670" s="142"/>
      <c r="E670" s="146"/>
      <c r="F670" s="51"/>
      <c r="G670" s="52"/>
      <c r="H670" s="58"/>
      <c r="I670" s="54"/>
      <c r="J670" s="55"/>
      <c r="K670" s="58"/>
      <c r="L670" s="58"/>
    </row>
    <row r="671" ht="50.25" customHeight="1">
      <c r="A671" s="40"/>
      <c r="B671" s="44" t="str">
        <f t="shared" si="1"/>
        <v>CNT</v>
      </c>
      <c r="C671" s="46"/>
      <c r="D671" s="142"/>
      <c r="E671" s="146"/>
      <c r="F671" s="51"/>
      <c r="G671" s="52"/>
      <c r="H671" s="58"/>
      <c r="I671" s="54"/>
      <c r="J671" s="55"/>
      <c r="K671" s="58"/>
      <c r="L671" s="58"/>
    </row>
    <row r="672" ht="50.25" customHeight="1">
      <c r="A672" s="40"/>
      <c r="B672" s="44" t="str">
        <f t="shared" si="1"/>
        <v>CNT</v>
      </c>
      <c r="C672" s="46"/>
      <c r="D672" s="142"/>
      <c r="E672" s="146"/>
      <c r="F672" s="51"/>
      <c r="G672" s="52"/>
      <c r="H672" s="58"/>
      <c r="I672" s="54"/>
      <c r="J672" s="55"/>
      <c r="K672" s="58"/>
      <c r="L672" s="58"/>
    </row>
    <row r="673" ht="50.25" customHeight="1">
      <c r="A673" s="40"/>
      <c r="B673" s="44" t="str">
        <f t="shared" si="1"/>
        <v>CNT</v>
      </c>
      <c r="C673" s="46"/>
      <c r="D673" s="142"/>
      <c r="E673" s="146"/>
      <c r="F673" s="51"/>
      <c r="G673" s="52"/>
      <c r="H673" s="58"/>
      <c r="I673" s="54"/>
      <c r="J673" s="55"/>
      <c r="K673" s="58"/>
      <c r="L673" s="58"/>
    </row>
    <row r="674" ht="50.25" customHeight="1">
      <c r="A674" s="40"/>
      <c r="B674" s="44" t="str">
        <f t="shared" si="1"/>
        <v>CNT</v>
      </c>
      <c r="C674" s="46"/>
      <c r="D674" s="142"/>
      <c r="E674" s="146"/>
      <c r="F674" s="51"/>
      <c r="G674" s="52"/>
      <c r="H674" s="58"/>
      <c r="I674" s="54"/>
      <c r="J674" s="55"/>
      <c r="K674" s="58"/>
      <c r="L674" s="58"/>
    </row>
    <row r="675" ht="50.25" customHeight="1">
      <c r="A675" s="40"/>
      <c r="B675" s="44" t="str">
        <f t="shared" si="1"/>
        <v>CNT</v>
      </c>
      <c r="C675" s="46"/>
      <c r="D675" s="142"/>
      <c r="E675" s="146"/>
      <c r="F675" s="51"/>
      <c r="G675" s="52"/>
      <c r="H675" s="58"/>
      <c r="I675" s="54"/>
      <c r="J675" s="55"/>
      <c r="K675" s="58"/>
      <c r="L675" s="58"/>
    </row>
    <row r="676" ht="50.25" customHeight="1">
      <c r="A676" s="40"/>
      <c r="B676" s="44" t="str">
        <f t="shared" si="1"/>
        <v>CNT</v>
      </c>
      <c r="C676" s="46"/>
      <c r="D676" s="142"/>
      <c r="E676" s="146"/>
      <c r="F676" s="51"/>
      <c r="G676" s="52"/>
      <c r="H676" s="58"/>
      <c r="I676" s="54"/>
      <c r="J676" s="55"/>
      <c r="K676" s="58"/>
      <c r="L676" s="58"/>
    </row>
    <row r="677" ht="50.25" customHeight="1">
      <c r="A677" s="40"/>
      <c r="B677" s="44" t="str">
        <f t="shared" si="1"/>
        <v>CNT</v>
      </c>
      <c r="C677" s="46"/>
      <c r="D677" s="142"/>
      <c r="E677" s="146"/>
      <c r="F677" s="51"/>
      <c r="G677" s="52"/>
      <c r="H677" s="58"/>
      <c r="I677" s="54"/>
      <c r="J677" s="55"/>
      <c r="K677" s="58"/>
      <c r="L677" s="58"/>
    </row>
    <row r="678" ht="50.25" customHeight="1">
      <c r="A678" s="40"/>
      <c r="B678" s="44" t="str">
        <f t="shared" si="1"/>
        <v>CNT</v>
      </c>
      <c r="C678" s="46"/>
      <c r="D678" s="142"/>
      <c r="E678" s="146"/>
      <c r="F678" s="51"/>
      <c r="G678" s="52"/>
      <c r="H678" s="58"/>
      <c r="I678" s="54"/>
      <c r="J678" s="55"/>
      <c r="K678" s="58"/>
      <c r="L678" s="58"/>
    </row>
    <row r="679" ht="50.25" customHeight="1">
      <c r="A679" s="40"/>
      <c r="B679" s="44" t="str">
        <f t="shared" si="1"/>
        <v>CNT</v>
      </c>
      <c r="C679" s="46"/>
      <c r="D679" s="142"/>
      <c r="E679" s="146"/>
      <c r="F679" s="51"/>
      <c r="G679" s="52"/>
      <c r="H679" s="58"/>
      <c r="I679" s="54"/>
      <c r="J679" s="55"/>
      <c r="K679" s="58"/>
      <c r="L679" s="58"/>
    </row>
    <row r="680" ht="50.25" customHeight="1">
      <c r="A680" s="40"/>
      <c r="B680" s="44" t="str">
        <f t="shared" si="1"/>
        <v>CNT</v>
      </c>
      <c r="C680" s="46"/>
      <c r="D680" s="142"/>
      <c r="E680" s="146"/>
      <c r="F680" s="51"/>
      <c r="G680" s="52"/>
      <c r="H680" s="58"/>
      <c r="I680" s="54"/>
      <c r="J680" s="55"/>
      <c r="K680" s="58"/>
      <c r="L680" s="58"/>
    </row>
    <row r="681" ht="50.25" customHeight="1">
      <c r="A681" s="40"/>
      <c r="B681" s="44" t="str">
        <f t="shared" si="1"/>
        <v>CNT</v>
      </c>
      <c r="C681" s="46"/>
      <c r="D681" s="142"/>
      <c r="E681" s="146"/>
      <c r="F681" s="51"/>
      <c r="G681" s="52"/>
      <c r="H681" s="58"/>
      <c r="I681" s="54"/>
      <c r="J681" s="55"/>
      <c r="K681" s="58"/>
      <c r="L681" s="58"/>
    </row>
    <row r="682" ht="50.25" customHeight="1">
      <c r="A682" s="40"/>
      <c r="B682" s="44" t="str">
        <f t="shared" si="1"/>
        <v>CNT</v>
      </c>
      <c r="C682" s="46"/>
      <c r="D682" s="142"/>
      <c r="E682" s="146"/>
      <c r="F682" s="51"/>
      <c r="G682" s="52"/>
      <c r="H682" s="58"/>
      <c r="I682" s="54"/>
      <c r="J682" s="55"/>
      <c r="K682" s="58"/>
      <c r="L682" s="58"/>
    </row>
    <row r="683" ht="50.25" customHeight="1">
      <c r="A683" s="40"/>
      <c r="B683" s="44" t="str">
        <f t="shared" si="1"/>
        <v>CNT</v>
      </c>
      <c r="C683" s="46"/>
      <c r="D683" s="142"/>
      <c r="E683" s="146"/>
      <c r="F683" s="51"/>
      <c r="G683" s="52"/>
      <c r="H683" s="58"/>
      <c r="I683" s="54"/>
      <c r="J683" s="55"/>
      <c r="K683" s="58"/>
      <c r="L683" s="58"/>
    </row>
    <row r="684" ht="50.25" customHeight="1">
      <c r="A684" s="40"/>
      <c r="B684" s="44" t="str">
        <f t="shared" si="1"/>
        <v>CNT</v>
      </c>
      <c r="C684" s="46"/>
      <c r="D684" s="142"/>
      <c r="E684" s="146"/>
      <c r="F684" s="51"/>
      <c r="G684" s="52"/>
      <c r="H684" s="58"/>
      <c r="I684" s="54"/>
      <c r="J684" s="55"/>
      <c r="K684" s="58"/>
      <c r="L684" s="58"/>
    </row>
    <row r="685" ht="50.25" customHeight="1">
      <c r="A685" s="40"/>
      <c r="B685" s="44" t="str">
        <f t="shared" si="1"/>
        <v>CNT</v>
      </c>
      <c r="C685" s="46"/>
      <c r="D685" s="142"/>
      <c r="E685" s="146"/>
      <c r="F685" s="51"/>
      <c r="G685" s="52"/>
      <c r="H685" s="58"/>
      <c r="I685" s="54"/>
      <c r="J685" s="55"/>
      <c r="K685" s="58"/>
      <c r="L685" s="58"/>
    </row>
    <row r="686" ht="50.25" customHeight="1">
      <c r="A686" s="40"/>
      <c r="B686" s="44" t="str">
        <f t="shared" si="1"/>
        <v>CNT</v>
      </c>
      <c r="C686" s="46"/>
      <c r="D686" s="142"/>
      <c r="E686" s="146"/>
      <c r="F686" s="51"/>
      <c r="G686" s="52"/>
      <c r="H686" s="58"/>
      <c r="I686" s="54"/>
      <c r="J686" s="55"/>
      <c r="K686" s="58"/>
      <c r="L686" s="58"/>
    </row>
    <row r="687" ht="50.25" customHeight="1">
      <c r="A687" s="40"/>
      <c r="B687" s="44" t="str">
        <f t="shared" si="1"/>
        <v>CNT</v>
      </c>
      <c r="C687" s="46"/>
      <c r="D687" s="142"/>
      <c r="E687" s="146"/>
      <c r="F687" s="51"/>
      <c r="G687" s="52"/>
      <c r="H687" s="58"/>
      <c r="I687" s="54"/>
      <c r="J687" s="55"/>
      <c r="K687" s="58"/>
      <c r="L687" s="58"/>
    </row>
    <row r="688" ht="50.25" customHeight="1">
      <c r="A688" s="40"/>
      <c r="B688" s="44" t="str">
        <f t="shared" si="1"/>
        <v>CNT</v>
      </c>
      <c r="C688" s="46"/>
      <c r="D688" s="142"/>
      <c r="E688" s="146"/>
      <c r="F688" s="51"/>
      <c r="G688" s="52"/>
      <c r="H688" s="58"/>
      <c r="I688" s="54"/>
      <c r="J688" s="55"/>
      <c r="K688" s="58"/>
      <c r="L688" s="58"/>
    </row>
    <row r="689" ht="50.25" customHeight="1">
      <c r="A689" s="40"/>
      <c r="B689" s="44" t="str">
        <f t="shared" si="1"/>
        <v>CNT</v>
      </c>
      <c r="C689" s="46"/>
      <c r="D689" s="142"/>
      <c r="E689" s="146"/>
      <c r="F689" s="51"/>
      <c r="G689" s="52"/>
      <c r="H689" s="58"/>
      <c r="I689" s="54"/>
      <c r="J689" s="55"/>
      <c r="K689" s="58"/>
      <c r="L689" s="58"/>
    </row>
    <row r="690" ht="50.25" customHeight="1">
      <c r="A690" s="40"/>
      <c r="B690" s="44" t="str">
        <f t="shared" si="1"/>
        <v>CNT</v>
      </c>
      <c r="C690" s="46"/>
      <c r="D690" s="142"/>
      <c r="E690" s="146"/>
      <c r="F690" s="51"/>
      <c r="G690" s="52"/>
      <c r="H690" s="58"/>
      <c r="I690" s="54"/>
      <c r="J690" s="55"/>
      <c r="K690" s="58"/>
      <c r="L690" s="58"/>
    </row>
    <row r="691" ht="50.25" customHeight="1">
      <c r="A691" s="40"/>
      <c r="B691" s="44" t="str">
        <f t="shared" si="1"/>
        <v>CNT</v>
      </c>
      <c r="C691" s="46"/>
      <c r="D691" s="142"/>
      <c r="E691" s="146"/>
      <c r="F691" s="51"/>
      <c r="G691" s="52"/>
      <c r="H691" s="58"/>
      <c r="I691" s="54"/>
      <c r="J691" s="55"/>
      <c r="K691" s="58"/>
      <c r="L691" s="58"/>
    </row>
    <row r="692" ht="50.25" customHeight="1">
      <c r="A692" s="40"/>
      <c r="B692" s="44" t="str">
        <f t="shared" si="1"/>
        <v>CNT</v>
      </c>
      <c r="C692" s="46"/>
      <c r="D692" s="142"/>
      <c r="E692" s="146"/>
      <c r="F692" s="51"/>
      <c r="G692" s="52"/>
      <c r="H692" s="58"/>
      <c r="I692" s="54"/>
      <c r="J692" s="55"/>
      <c r="K692" s="58"/>
      <c r="L692" s="58"/>
    </row>
    <row r="693" ht="50.25" customHeight="1">
      <c r="A693" s="40"/>
      <c r="B693" s="44" t="str">
        <f t="shared" si="1"/>
        <v>CNT</v>
      </c>
      <c r="C693" s="46"/>
      <c r="D693" s="142"/>
      <c r="E693" s="146"/>
      <c r="F693" s="51"/>
      <c r="G693" s="52"/>
      <c r="H693" s="58"/>
      <c r="I693" s="54"/>
      <c r="J693" s="55"/>
      <c r="K693" s="58"/>
      <c r="L693" s="58"/>
    </row>
    <row r="694" ht="50.25" customHeight="1">
      <c r="A694" s="40"/>
      <c r="B694" s="44" t="str">
        <f t="shared" si="1"/>
        <v>CNT</v>
      </c>
      <c r="C694" s="46"/>
      <c r="D694" s="142"/>
      <c r="E694" s="146"/>
      <c r="F694" s="51"/>
      <c r="G694" s="52"/>
      <c r="H694" s="58"/>
      <c r="I694" s="54"/>
      <c r="J694" s="55"/>
      <c r="K694" s="58"/>
      <c r="L694" s="58"/>
    </row>
    <row r="695" ht="50.25" customHeight="1">
      <c r="A695" s="40"/>
      <c r="B695" s="44" t="str">
        <f t="shared" si="1"/>
        <v>CNT</v>
      </c>
      <c r="C695" s="46"/>
      <c r="D695" s="142"/>
      <c r="E695" s="146"/>
      <c r="F695" s="51"/>
      <c r="G695" s="52"/>
      <c r="H695" s="58"/>
      <c r="I695" s="54"/>
      <c r="J695" s="55"/>
      <c r="K695" s="58"/>
      <c r="L695" s="58"/>
    </row>
    <row r="696" ht="50.25" customHeight="1">
      <c r="A696" s="40"/>
      <c r="B696" s="44" t="str">
        <f t="shared" si="1"/>
        <v>CNT</v>
      </c>
      <c r="C696" s="46"/>
      <c r="D696" s="142"/>
      <c r="E696" s="146"/>
      <c r="F696" s="51"/>
      <c r="G696" s="52"/>
      <c r="H696" s="58"/>
      <c r="I696" s="54"/>
      <c r="J696" s="55"/>
      <c r="K696" s="58"/>
      <c r="L696" s="58"/>
    </row>
    <row r="697" ht="50.25" customHeight="1">
      <c r="A697" s="40"/>
      <c r="B697" s="44" t="str">
        <f t="shared" si="1"/>
        <v>CNT</v>
      </c>
      <c r="C697" s="46"/>
      <c r="D697" s="142"/>
      <c r="E697" s="146"/>
      <c r="F697" s="51"/>
      <c r="G697" s="52"/>
      <c r="H697" s="58"/>
      <c r="I697" s="54"/>
      <c r="J697" s="55"/>
      <c r="K697" s="58"/>
      <c r="L697" s="58"/>
    </row>
    <row r="698" ht="50.25" customHeight="1">
      <c r="A698" s="40"/>
      <c r="B698" s="44" t="str">
        <f t="shared" si="1"/>
        <v>CNT</v>
      </c>
      <c r="C698" s="46"/>
      <c r="D698" s="142"/>
      <c r="E698" s="146"/>
      <c r="F698" s="51"/>
      <c r="G698" s="52"/>
      <c r="H698" s="58"/>
      <c r="I698" s="54"/>
      <c r="J698" s="55"/>
      <c r="K698" s="58"/>
      <c r="L698" s="58"/>
    </row>
    <row r="699" ht="50.25" customHeight="1">
      <c r="A699" s="40"/>
      <c r="B699" s="44" t="str">
        <f t="shared" si="1"/>
        <v>CNT</v>
      </c>
      <c r="C699" s="46"/>
      <c r="D699" s="142"/>
      <c r="E699" s="146"/>
      <c r="F699" s="51"/>
      <c r="G699" s="52"/>
      <c r="H699" s="58"/>
      <c r="I699" s="54"/>
      <c r="J699" s="55"/>
      <c r="K699" s="58"/>
      <c r="L699" s="58"/>
    </row>
    <row r="700" ht="50.25" customHeight="1">
      <c r="A700" s="40"/>
      <c r="B700" s="44" t="str">
        <f t="shared" si="1"/>
        <v>CNT</v>
      </c>
      <c r="C700" s="46"/>
      <c r="D700" s="142"/>
      <c r="E700" s="146"/>
      <c r="F700" s="51"/>
      <c r="G700" s="52"/>
      <c r="H700" s="58"/>
      <c r="I700" s="54"/>
      <c r="J700" s="55"/>
      <c r="K700" s="58"/>
      <c r="L700" s="58"/>
    </row>
    <row r="701" ht="50.25" customHeight="1">
      <c r="A701" s="40"/>
      <c r="B701" s="44" t="str">
        <f t="shared" si="1"/>
        <v>CNT</v>
      </c>
      <c r="C701" s="46"/>
      <c r="D701" s="142"/>
      <c r="E701" s="146"/>
      <c r="F701" s="51"/>
      <c r="G701" s="52"/>
      <c r="H701" s="58"/>
      <c r="I701" s="54"/>
      <c r="J701" s="55"/>
      <c r="K701" s="58"/>
      <c r="L701" s="58"/>
    </row>
    <row r="702" ht="50.25" customHeight="1">
      <c r="A702" s="40"/>
      <c r="B702" s="44" t="str">
        <f t="shared" si="1"/>
        <v>CNT</v>
      </c>
      <c r="C702" s="46"/>
      <c r="D702" s="142"/>
      <c r="E702" s="146"/>
      <c r="F702" s="51"/>
      <c r="G702" s="52"/>
      <c r="H702" s="58"/>
      <c r="I702" s="54"/>
      <c r="J702" s="55"/>
      <c r="K702" s="58"/>
      <c r="L702" s="58"/>
    </row>
    <row r="703" ht="50.25" customHeight="1">
      <c r="A703" s="40"/>
      <c r="B703" s="44" t="str">
        <f t="shared" si="1"/>
        <v>CNT</v>
      </c>
      <c r="C703" s="46"/>
      <c r="D703" s="142"/>
      <c r="E703" s="146"/>
      <c r="F703" s="51"/>
      <c r="G703" s="52"/>
      <c r="H703" s="58"/>
      <c r="I703" s="54"/>
      <c r="J703" s="55"/>
      <c r="K703" s="58"/>
      <c r="L703" s="58"/>
    </row>
    <row r="704" ht="50.25" customHeight="1">
      <c r="A704" s="40"/>
      <c r="B704" s="44" t="str">
        <f t="shared" si="1"/>
        <v>CNT</v>
      </c>
      <c r="C704" s="46"/>
      <c r="D704" s="142"/>
      <c r="E704" s="146"/>
      <c r="F704" s="51"/>
      <c r="G704" s="52"/>
      <c r="H704" s="58"/>
      <c r="I704" s="54"/>
      <c r="J704" s="55"/>
      <c r="K704" s="58"/>
      <c r="L704" s="58"/>
    </row>
    <row r="705" ht="50.25" customHeight="1">
      <c r="A705" s="40"/>
      <c r="B705" s="44" t="str">
        <f t="shared" si="1"/>
        <v>CNT</v>
      </c>
      <c r="C705" s="46"/>
      <c r="D705" s="142"/>
      <c r="E705" s="146"/>
      <c r="F705" s="51"/>
      <c r="G705" s="52"/>
      <c r="H705" s="58"/>
      <c r="I705" s="54"/>
      <c r="J705" s="55"/>
      <c r="K705" s="58"/>
      <c r="L705" s="58"/>
    </row>
    <row r="706" ht="50.25" customHeight="1">
      <c r="A706" s="40"/>
      <c r="B706" s="44" t="str">
        <f t="shared" si="1"/>
        <v>CNT</v>
      </c>
      <c r="C706" s="46"/>
      <c r="D706" s="142"/>
      <c r="E706" s="146"/>
      <c r="F706" s="51"/>
      <c r="G706" s="52"/>
      <c r="H706" s="58"/>
      <c r="I706" s="54"/>
      <c r="J706" s="55"/>
      <c r="K706" s="58"/>
      <c r="L706" s="58"/>
    </row>
    <row r="707" ht="50.25" customHeight="1">
      <c r="A707" s="40"/>
      <c r="B707" s="44" t="str">
        <f t="shared" si="1"/>
        <v>CNT</v>
      </c>
      <c r="C707" s="46"/>
      <c r="D707" s="142"/>
      <c r="E707" s="146"/>
      <c r="F707" s="51"/>
      <c r="G707" s="52"/>
      <c r="H707" s="58"/>
      <c r="I707" s="54"/>
      <c r="J707" s="55"/>
      <c r="K707" s="58"/>
      <c r="L707" s="58"/>
    </row>
    <row r="708" ht="50.25" customHeight="1">
      <c r="A708" s="40"/>
      <c r="B708" s="44" t="str">
        <f t="shared" si="1"/>
        <v>CNT</v>
      </c>
      <c r="C708" s="46"/>
      <c r="D708" s="142"/>
      <c r="E708" s="146"/>
      <c r="F708" s="51"/>
      <c r="G708" s="52"/>
      <c r="H708" s="58"/>
      <c r="I708" s="54"/>
      <c r="J708" s="55"/>
      <c r="K708" s="58"/>
      <c r="L708" s="58"/>
    </row>
    <row r="709" ht="50.25" customHeight="1">
      <c r="A709" s="40"/>
      <c r="B709" s="44" t="str">
        <f t="shared" si="1"/>
        <v>CNT</v>
      </c>
      <c r="C709" s="46"/>
      <c r="D709" s="142"/>
      <c r="E709" s="146"/>
      <c r="F709" s="51"/>
      <c r="G709" s="52"/>
      <c r="H709" s="58"/>
      <c r="I709" s="54"/>
      <c r="J709" s="55"/>
      <c r="K709" s="58"/>
      <c r="L709" s="58"/>
    </row>
    <row r="710" ht="50.25" customHeight="1">
      <c r="A710" s="40"/>
      <c r="B710" s="44" t="str">
        <f t="shared" si="1"/>
        <v>CNT</v>
      </c>
      <c r="C710" s="46"/>
      <c r="D710" s="142"/>
      <c r="E710" s="146"/>
      <c r="F710" s="51"/>
      <c r="G710" s="52"/>
      <c r="H710" s="58"/>
      <c r="I710" s="54"/>
      <c r="J710" s="55"/>
      <c r="K710" s="58"/>
      <c r="L710" s="58"/>
    </row>
    <row r="711" ht="50.25" customHeight="1">
      <c r="A711" s="40"/>
      <c r="B711" s="44" t="str">
        <f t="shared" si="1"/>
        <v>CNT</v>
      </c>
      <c r="C711" s="46"/>
      <c r="D711" s="142"/>
      <c r="E711" s="146"/>
      <c r="F711" s="51"/>
      <c r="G711" s="52"/>
      <c r="H711" s="58"/>
      <c r="I711" s="54"/>
      <c r="J711" s="55"/>
      <c r="K711" s="58"/>
      <c r="L711" s="58"/>
    </row>
    <row r="712" ht="50.25" customHeight="1">
      <c r="A712" s="40"/>
      <c r="B712" s="44" t="str">
        <f t="shared" si="1"/>
        <v>CNT</v>
      </c>
      <c r="C712" s="46"/>
      <c r="D712" s="142"/>
      <c r="E712" s="146"/>
      <c r="F712" s="51"/>
      <c r="G712" s="52"/>
      <c r="H712" s="58"/>
      <c r="I712" s="54"/>
      <c r="J712" s="55"/>
      <c r="K712" s="58"/>
      <c r="L712" s="58"/>
    </row>
    <row r="713" ht="50.25" customHeight="1">
      <c r="A713" s="40"/>
      <c r="B713" s="44" t="str">
        <f t="shared" si="1"/>
        <v>CNT</v>
      </c>
      <c r="C713" s="46"/>
      <c r="D713" s="142"/>
      <c r="E713" s="146"/>
      <c r="F713" s="51"/>
      <c r="G713" s="52"/>
      <c r="H713" s="58"/>
      <c r="I713" s="54"/>
      <c r="J713" s="55"/>
      <c r="K713" s="58"/>
      <c r="L713" s="58"/>
    </row>
    <row r="714" ht="50.25" customHeight="1">
      <c r="A714" s="40"/>
      <c r="B714" s="44" t="str">
        <f t="shared" si="1"/>
        <v>CNT</v>
      </c>
      <c r="C714" s="46"/>
      <c r="D714" s="142"/>
      <c r="E714" s="146"/>
      <c r="F714" s="51"/>
      <c r="G714" s="52"/>
      <c r="H714" s="58"/>
      <c r="I714" s="54"/>
      <c r="J714" s="55"/>
      <c r="K714" s="58"/>
      <c r="L714" s="58"/>
    </row>
    <row r="715" ht="50.25" customHeight="1">
      <c r="A715" s="40"/>
      <c r="B715" s="44" t="str">
        <f t="shared" si="1"/>
        <v>CNT</v>
      </c>
      <c r="C715" s="46"/>
      <c r="D715" s="142"/>
      <c r="E715" s="146"/>
      <c r="F715" s="51"/>
      <c r="G715" s="52"/>
      <c r="H715" s="58"/>
      <c r="I715" s="54"/>
      <c r="J715" s="55"/>
      <c r="K715" s="58"/>
      <c r="L715" s="58"/>
    </row>
    <row r="716" ht="50.25" customHeight="1">
      <c r="A716" s="40"/>
      <c r="B716" s="44" t="str">
        <f t="shared" si="1"/>
        <v>CNT</v>
      </c>
      <c r="C716" s="46"/>
      <c r="D716" s="142"/>
      <c r="E716" s="146"/>
      <c r="F716" s="51"/>
      <c r="G716" s="52"/>
      <c r="H716" s="58"/>
      <c r="I716" s="54"/>
      <c r="J716" s="55"/>
      <c r="K716" s="58"/>
      <c r="L716" s="58"/>
    </row>
    <row r="717" ht="50.25" customHeight="1">
      <c r="A717" s="40"/>
      <c r="B717" s="44" t="str">
        <f t="shared" si="1"/>
        <v>CNT</v>
      </c>
      <c r="C717" s="46"/>
      <c r="D717" s="142"/>
      <c r="E717" s="146"/>
      <c r="F717" s="51"/>
      <c r="G717" s="52"/>
      <c r="H717" s="58"/>
      <c r="I717" s="54"/>
      <c r="J717" s="55"/>
      <c r="K717" s="58"/>
      <c r="L717" s="58"/>
    </row>
    <row r="718" ht="50.25" customHeight="1">
      <c r="A718" s="40"/>
      <c r="B718" s="44" t="str">
        <f t="shared" si="1"/>
        <v>CNT</v>
      </c>
      <c r="C718" s="46"/>
      <c r="D718" s="142"/>
      <c r="E718" s="146"/>
      <c r="F718" s="51"/>
      <c r="G718" s="52"/>
      <c r="H718" s="58"/>
      <c r="I718" s="54"/>
      <c r="J718" s="55"/>
      <c r="K718" s="58"/>
      <c r="L718" s="58"/>
    </row>
    <row r="719" ht="50.25" customHeight="1">
      <c r="A719" s="40"/>
      <c r="B719" s="44" t="str">
        <f t="shared" si="1"/>
        <v>CNT</v>
      </c>
      <c r="C719" s="46"/>
      <c r="D719" s="142"/>
      <c r="E719" s="146"/>
      <c r="F719" s="51"/>
      <c r="G719" s="52"/>
      <c r="H719" s="58"/>
      <c r="I719" s="54"/>
      <c r="J719" s="55"/>
      <c r="K719" s="58"/>
      <c r="L719" s="58"/>
    </row>
    <row r="720" ht="50.25" customHeight="1">
      <c r="A720" s="40"/>
      <c r="B720" s="44" t="str">
        <f t="shared" si="1"/>
        <v>CNT</v>
      </c>
      <c r="C720" s="46"/>
      <c r="D720" s="142"/>
      <c r="E720" s="146"/>
      <c r="F720" s="51"/>
      <c r="G720" s="52"/>
      <c r="H720" s="58"/>
      <c r="I720" s="54"/>
      <c r="J720" s="55"/>
      <c r="K720" s="58"/>
      <c r="L720" s="58"/>
    </row>
    <row r="721" ht="50.25" customHeight="1">
      <c r="A721" s="40"/>
      <c r="B721" s="44" t="str">
        <f t="shared" si="1"/>
        <v>CNT</v>
      </c>
      <c r="C721" s="46"/>
      <c r="D721" s="142"/>
      <c r="E721" s="146"/>
      <c r="F721" s="51"/>
      <c r="G721" s="52"/>
      <c r="H721" s="58"/>
      <c r="I721" s="54"/>
      <c r="J721" s="55"/>
      <c r="K721" s="58"/>
      <c r="L721" s="58"/>
    </row>
    <row r="722" ht="50.25" customHeight="1">
      <c r="A722" s="40"/>
      <c r="B722" s="44" t="str">
        <f t="shared" si="1"/>
        <v>CNT</v>
      </c>
      <c r="C722" s="46"/>
      <c r="D722" s="142"/>
      <c r="E722" s="146"/>
      <c r="F722" s="51"/>
      <c r="G722" s="52"/>
      <c r="H722" s="58"/>
      <c r="I722" s="54"/>
      <c r="J722" s="55"/>
      <c r="K722" s="58"/>
      <c r="L722" s="58"/>
    </row>
    <row r="723" ht="50.25" customHeight="1">
      <c r="A723" s="40"/>
      <c r="B723" s="44" t="str">
        <f t="shared" si="1"/>
        <v>CNT</v>
      </c>
      <c r="C723" s="46"/>
      <c r="D723" s="142"/>
      <c r="E723" s="146"/>
      <c r="F723" s="51"/>
      <c r="G723" s="52"/>
      <c r="H723" s="58"/>
      <c r="I723" s="54"/>
      <c r="J723" s="55"/>
      <c r="K723" s="58"/>
      <c r="L723" s="58"/>
    </row>
    <row r="724" ht="50.25" customHeight="1">
      <c r="A724" s="40"/>
      <c r="B724" s="44" t="str">
        <f t="shared" si="1"/>
        <v>CNT</v>
      </c>
      <c r="C724" s="46"/>
      <c r="D724" s="142"/>
      <c r="E724" s="146"/>
      <c r="F724" s="51"/>
      <c r="G724" s="52"/>
      <c r="H724" s="58"/>
      <c r="I724" s="54"/>
      <c r="J724" s="55"/>
      <c r="K724" s="58"/>
      <c r="L724" s="58"/>
    </row>
    <row r="725" ht="50.25" customHeight="1">
      <c r="A725" s="40"/>
      <c r="B725" s="44" t="str">
        <f t="shared" si="1"/>
        <v>CNT</v>
      </c>
      <c r="C725" s="46"/>
      <c r="D725" s="142"/>
      <c r="E725" s="146"/>
      <c r="F725" s="51"/>
      <c r="G725" s="52"/>
      <c r="H725" s="58"/>
      <c r="I725" s="54"/>
      <c r="J725" s="55"/>
      <c r="K725" s="58"/>
      <c r="L725" s="58"/>
    </row>
    <row r="726" ht="50.25" customHeight="1">
      <c r="A726" s="40"/>
      <c r="B726" s="44" t="str">
        <f t="shared" si="1"/>
        <v>CNT</v>
      </c>
      <c r="C726" s="46"/>
      <c r="D726" s="142"/>
      <c r="E726" s="146"/>
      <c r="F726" s="51"/>
      <c r="G726" s="52"/>
      <c r="H726" s="58"/>
      <c r="I726" s="54"/>
      <c r="J726" s="55"/>
      <c r="K726" s="58"/>
      <c r="L726" s="58"/>
    </row>
    <row r="727" ht="50.25" customHeight="1">
      <c r="A727" s="40"/>
      <c r="B727" s="44" t="str">
        <f t="shared" si="1"/>
        <v>CNT</v>
      </c>
      <c r="C727" s="46"/>
      <c r="D727" s="142"/>
      <c r="E727" s="146"/>
      <c r="F727" s="51"/>
      <c r="G727" s="52"/>
      <c r="H727" s="58"/>
      <c r="I727" s="54"/>
      <c r="J727" s="55"/>
      <c r="K727" s="58"/>
      <c r="L727" s="58"/>
    </row>
    <row r="728" ht="50.25" customHeight="1">
      <c r="A728" s="40"/>
      <c r="B728" s="44" t="str">
        <f t="shared" si="1"/>
        <v>CNT</v>
      </c>
      <c r="C728" s="46"/>
      <c r="D728" s="142"/>
      <c r="E728" s="146"/>
      <c r="F728" s="51"/>
      <c r="G728" s="52"/>
      <c r="H728" s="58"/>
      <c r="I728" s="54"/>
      <c r="J728" s="55"/>
      <c r="K728" s="58"/>
      <c r="L728" s="58"/>
    </row>
    <row r="729" ht="50.25" customHeight="1">
      <c r="A729" s="40"/>
      <c r="B729" s="44" t="str">
        <f t="shared" si="1"/>
        <v>CNT</v>
      </c>
      <c r="C729" s="46"/>
      <c r="D729" s="142"/>
      <c r="E729" s="146"/>
      <c r="F729" s="51"/>
      <c r="G729" s="52"/>
      <c r="H729" s="58"/>
      <c r="I729" s="54"/>
      <c r="J729" s="55"/>
      <c r="K729" s="58"/>
      <c r="L729" s="58"/>
    </row>
    <row r="730" ht="50.25" customHeight="1">
      <c r="A730" s="40"/>
      <c r="B730" s="44" t="str">
        <f t="shared" si="1"/>
        <v>CNT</v>
      </c>
      <c r="C730" s="46"/>
      <c r="D730" s="142"/>
      <c r="E730" s="146"/>
      <c r="F730" s="51"/>
      <c r="G730" s="52"/>
      <c r="H730" s="58"/>
      <c r="I730" s="54"/>
      <c r="J730" s="55"/>
      <c r="K730" s="58"/>
      <c r="L730" s="58"/>
    </row>
    <row r="731" ht="50.25" customHeight="1">
      <c r="A731" s="40"/>
      <c r="B731" s="44" t="str">
        <f t="shared" si="1"/>
        <v>CNT</v>
      </c>
      <c r="C731" s="46"/>
      <c r="D731" s="142"/>
      <c r="E731" s="146"/>
      <c r="F731" s="51"/>
      <c r="G731" s="52"/>
      <c r="H731" s="58"/>
      <c r="I731" s="54"/>
      <c r="J731" s="55"/>
      <c r="K731" s="58"/>
      <c r="L731" s="58"/>
    </row>
    <row r="732" ht="50.25" customHeight="1">
      <c r="A732" s="40"/>
      <c r="B732" s="44" t="str">
        <f t="shared" si="1"/>
        <v>CNT</v>
      </c>
      <c r="C732" s="46"/>
      <c r="D732" s="142"/>
      <c r="E732" s="146"/>
      <c r="F732" s="51"/>
      <c r="G732" s="52"/>
      <c r="H732" s="58"/>
      <c r="I732" s="54"/>
      <c r="J732" s="55"/>
      <c r="K732" s="58"/>
      <c r="L732" s="58"/>
    </row>
    <row r="733" ht="50.25" customHeight="1">
      <c r="A733" s="40"/>
      <c r="B733" s="44" t="str">
        <f t="shared" si="1"/>
        <v>CNT</v>
      </c>
      <c r="C733" s="46"/>
      <c r="D733" s="142"/>
      <c r="E733" s="146"/>
      <c r="F733" s="51"/>
      <c r="G733" s="52"/>
      <c r="H733" s="58"/>
      <c r="I733" s="54"/>
      <c r="J733" s="55"/>
      <c r="K733" s="58"/>
      <c r="L733" s="58"/>
    </row>
    <row r="734" ht="50.25" customHeight="1">
      <c r="A734" s="40"/>
      <c r="B734" s="44" t="str">
        <f t="shared" si="1"/>
        <v>CNT</v>
      </c>
      <c r="C734" s="46"/>
      <c r="D734" s="142"/>
      <c r="E734" s="146"/>
      <c r="F734" s="51"/>
      <c r="G734" s="52"/>
      <c r="H734" s="58"/>
      <c r="I734" s="54"/>
      <c r="J734" s="55"/>
      <c r="K734" s="58"/>
      <c r="L734" s="58"/>
    </row>
    <row r="735" ht="50.25" customHeight="1">
      <c r="A735" s="40"/>
      <c r="B735" s="44" t="str">
        <f t="shared" si="1"/>
        <v>CNT</v>
      </c>
      <c r="C735" s="46"/>
      <c r="D735" s="142"/>
      <c r="E735" s="146"/>
      <c r="F735" s="51"/>
      <c r="G735" s="52"/>
      <c r="H735" s="58"/>
      <c r="I735" s="54"/>
      <c r="J735" s="55"/>
      <c r="K735" s="58"/>
      <c r="L735" s="58"/>
    </row>
    <row r="736" ht="50.25" customHeight="1">
      <c r="A736" s="40"/>
      <c r="B736" s="44" t="str">
        <f t="shared" si="1"/>
        <v>CNT</v>
      </c>
      <c r="C736" s="46"/>
      <c r="D736" s="142"/>
      <c r="E736" s="146"/>
      <c r="F736" s="51"/>
      <c r="G736" s="52"/>
      <c r="H736" s="58"/>
      <c r="I736" s="54"/>
      <c r="J736" s="55"/>
      <c r="K736" s="58"/>
      <c r="L736" s="58"/>
    </row>
    <row r="737" ht="50.25" customHeight="1">
      <c r="A737" s="40"/>
      <c r="B737" s="44" t="str">
        <f t="shared" si="1"/>
        <v>CNT</v>
      </c>
      <c r="C737" s="46"/>
      <c r="D737" s="142"/>
      <c r="E737" s="146"/>
      <c r="F737" s="51"/>
      <c r="G737" s="52"/>
      <c r="H737" s="58"/>
      <c r="I737" s="54"/>
      <c r="J737" s="55"/>
      <c r="K737" s="58"/>
      <c r="L737" s="58"/>
    </row>
    <row r="738" ht="50.25" customHeight="1">
      <c r="A738" s="40"/>
      <c r="B738" s="44" t="str">
        <f t="shared" si="1"/>
        <v>CNT</v>
      </c>
      <c r="C738" s="46"/>
      <c r="D738" s="142"/>
      <c r="E738" s="146"/>
      <c r="F738" s="51"/>
      <c r="G738" s="52"/>
      <c r="H738" s="58"/>
      <c r="I738" s="54"/>
      <c r="J738" s="55"/>
      <c r="K738" s="58"/>
      <c r="L738" s="58"/>
    </row>
    <row r="739" ht="50.25" customHeight="1">
      <c r="A739" s="40"/>
      <c r="B739" s="44" t="str">
        <f t="shared" si="1"/>
        <v>CNT</v>
      </c>
      <c r="C739" s="46"/>
      <c r="D739" s="142"/>
      <c r="E739" s="146"/>
      <c r="F739" s="51"/>
      <c r="G739" s="52"/>
      <c r="H739" s="58"/>
      <c r="I739" s="54"/>
      <c r="J739" s="55"/>
      <c r="K739" s="58"/>
      <c r="L739" s="58"/>
    </row>
    <row r="740" ht="50.25" customHeight="1">
      <c r="A740" s="40"/>
      <c r="B740" s="44" t="str">
        <f t="shared" si="1"/>
        <v>CNT</v>
      </c>
      <c r="C740" s="46"/>
      <c r="D740" s="142"/>
      <c r="E740" s="146"/>
      <c r="F740" s="51"/>
      <c r="G740" s="52"/>
      <c r="H740" s="58"/>
      <c r="I740" s="54"/>
      <c r="J740" s="55"/>
      <c r="K740" s="58"/>
      <c r="L740" s="58"/>
    </row>
    <row r="741" ht="50.25" customHeight="1">
      <c r="A741" s="40"/>
      <c r="B741" s="44" t="str">
        <f t="shared" si="1"/>
        <v>CNT</v>
      </c>
      <c r="C741" s="46"/>
      <c r="D741" s="142"/>
      <c r="E741" s="146"/>
      <c r="F741" s="51"/>
      <c r="G741" s="52"/>
      <c r="H741" s="58"/>
      <c r="I741" s="54"/>
      <c r="J741" s="55"/>
      <c r="K741" s="58"/>
      <c r="L741" s="58"/>
    </row>
    <row r="742" ht="50.25" customHeight="1">
      <c r="A742" s="40"/>
      <c r="B742" s="44" t="str">
        <f t="shared" si="1"/>
        <v>CNT</v>
      </c>
      <c r="C742" s="46"/>
      <c r="D742" s="142"/>
      <c r="E742" s="146"/>
      <c r="F742" s="51"/>
      <c r="G742" s="52"/>
      <c r="H742" s="58"/>
      <c r="I742" s="54"/>
      <c r="J742" s="55"/>
      <c r="K742" s="58"/>
      <c r="L742" s="58"/>
    </row>
    <row r="743" ht="50.25" customHeight="1">
      <c r="A743" s="40"/>
      <c r="B743" s="44" t="str">
        <f t="shared" si="1"/>
        <v>CNT</v>
      </c>
      <c r="C743" s="46"/>
      <c r="D743" s="142"/>
      <c r="E743" s="146"/>
      <c r="F743" s="51"/>
      <c r="G743" s="52"/>
      <c r="H743" s="58"/>
      <c r="I743" s="54"/>
      <c r="J743" s="55"/>
      <c r="K743" s="58"/>
      <c r="L743" s="58"/>
    </row>
    <row r="744" ht="50.25" customHeight="1">
      <c r="A744" s="40"/>
      <c r="B744" s="44" t="str">
        <f t="shared" si="1"/>
        <v>CNT</v>
      </c>
      <c r="C744" s="46"/>
      <c r="D744" s="142"/>
      <c r="E744" s="146"/>
      <c r="F744" s="51"/>
      <c r="G744" s="52"/>
      <c r="H744" s="58"/>
      <c r="I744" s="54"/>
      <c r="J744" s="55"/>
      <c r="K744" s="58"/>
      <c r="L744" s="58"/>
    </row>
    <row r="745" ht="50.25" customHeight="1">
      <c r="A745" s="40"/>
      <c r="B745" s="44" t="str">
        <f t="shared" si="1"/>
        <v>CNT</v>
      </c>
      <c r="C745" s="46"/>
      <c r="D745" s="142"/>
      <c r="E745" s="146"/>
      <c r="F745" s="51"/>
      <c r="G745" s="52"/>
      <c r="H745" s="58"/>
      <c r="I745" s="54"/>
      <c r="J745" s="55"/>
      <c r="K745" s="58"/>
      <c r="L745" s="58"/>
    </row>
    <row r="746" ht="50.25" customHeight="1">
      <c r="A746" s="40"/>
      <c r="B746" s="44" t="str">
        <f t="shared" si="1"/>
        <v>CNT</v>
      </c>
      <c r="C746" s="46"/>
      <c r="D746" s="142"/>
      <c r="E746" s="146"/>
      <c r="F746" s="51"/>
      <c r="G746" s="52"/>
      <c r="H746" s="58"/>
      <c r="I746" s="54"/>
      <c r="J746" s="55"/>
      <c r="K746" s="58"/>
      <c r="L746" s="58"/>
    </row>
    <row r="747" ht="50.25" customHeight="1">
      <c r="A747" s="40"/>
      <c r="B747" s="44" t="str">
        <f t="shared" si="1"/>
        <v>CNT</v>
      </c>
      <c r="C747" s="46"/>
      <c r="D747" s="142"/>
      <c r="E747" s="146"/>
      <c r="F747" s="51"/>
      <c r="G747" s="52"/>
      <c r="H747" s="58"/>
      <c r="I747" s="54"/>
      <c r="J747" s="55"/>
      <c r="K747" s="58"/>
      <c r="L747" s="58"/>
    </row>
    <row r="748" ht="50.25" customHeight="1">
      <c r="A748" s="40"/>
      <c r="B748" s="44" t="str">
        <f t="shared" si="1"/>
        <v>CNT</v>
      </c>
      <c r="C748" s="46"/>
      <c r="D748" s="142"/>
      <c r="E748" s="146"/>
      <c r="F748" s="51"/>
      <c r="G748" s="52"/>
      <c r="H748" s="58"/>
      <c r="I748" s="54"/>
      <c r="J748" s="55"/>
      <c r="K748" s="58"/>
      <c r="L748" s="58"/>
    </row>
    <row r="749" ht="50.25" customHeight="1">
      <c r="A749" s="40"/>
      <c r="B749" s="44" t="str">
        <f t="shared" si="1"/>
        <v>CNT</v>
      </c>
      <c r="C749" s="46"/>
      <c r="D749" s="142"/>
      <c r="E749" s="146"/>
      <c r="F749" s="51"/>
      <c r="G749" s="52"/>
      <c r="H749" s="58"/>
      <c r="I749" s="54"/>
      <c r="J749" s="55"/>
      <c r="K749" s="58"/>
      <c r="L749" s="58"/>
    </row>
    <row r="750" ht="50.25" customHeight="1">
      <c r="A750" s="40"/>
      <c r="B750" s="44" t="str">
        <f t="shared" si="1"/>
        <v>CNT</v>
      </c>
      <c r="C750" s="46"/>
      <c r="D750" s="142"/>
      <c r="E750" s="146"/>
      <c r="F750" s="51"/>
      <c r="G750" s="52"/>
      <c r="H750" s="58"/>
      <c r="I750" s="54"/>
      <c r="J750" s="55"/>
      <c r="K750" s="58"/>
      <c r="L750" s="58"/>
    </row>
    <row r="751" ht="50.25" customHeight="1">
      <c r="A751" s="40"/>
      <c r="B751" s="44" t="str">
        <f t="shared" si="1"/>
        <v>CNT</v>
      </c>
      <c r="C751" s="46"/>
      <c r="D751" s="142"/>
      <c r="E751" s="146"/>
      <c r="F751" s="51"/>
      <c r="G751" s="52"/>
      <c r="H751" s="58"/>
      <c r="I751" s="54"/>
      <c r="J751" s="55"/>
      <c r="K751" s="58"/>
      <c r="L751" s="58"/>
    </row>
    <row r="752" ht="50.25" customHeight="1">
      <c r="A752" s="40"/>
      <c r="B752" s="44" t="str">
        <f t="shared" si="1"/>
        <v>CNT</v>
      </c>
      <c r="C752" s="46"/>
      <c r="D752" s="142"/>
      <c r="E752" s="146"/>
      <c r="F752" s="51"/>
      <c r="G752" s="52"/>
      <c r="H752" s="58"/>
      <c r="I752" s="54"/>
      <c r="J752" s="55"/>
      <c r="K752" s="58"/>
      <c r="L752" s="58"/>
    </row>
    <row r="753" ht="50.25" customHeight="1">
      <c r="A753" s="40"/>
      <c r="B753" s="44" t="str">
        <f t="shared" si="1"/>
        <v>CNT</v>
      </c>
      <c r="C753" s="46"/>
      <c r="D753" s="142"/>
      <c r="E753" s="146"/>
      <c r="F753" s="51"/>
      <c r="G753" s="52"/>
      <c r="H753" s="58"/>
      <c r="I753" s="54"/>
      <c r="J753" s="55"/>
      <c r="K753" s="58"/>
      <c r="L753" s="58"/>
    </row>
    <row r="754" ht="50.25" customHeight="1">
      <c r="A754" s="40"/>
      <c r="B754" s="44" t="str">
        <f t="shared" si="1"/>
        <v>CNT</v>
      </c>
      <c r="C754" s="46"/>
      <c r="D754" s="142"/>
      <c r="E754" s="146"/>
      <c r="F754" s="51"/>
      <c r="G754" s="52"/>
      <c r="H754" s="58"/>
      <c r="I754" s="54"/>
      <c r="J754" s="55"/>
      <c r="K754" s="58"/>
      <c r="L754" s="58"/>
    </row>
    <row r="755" ht="50.25" customHeight="1">
      <c r="A755" s="40"/>
      <c r="B755" s="44" t="str">
        <f t="shared" si="1"/>
        <v>CNT</v>
      </c>
      <c r="C755" s="46"/>
      <c r="D755" s="142"/>
      <c r="E755" s="146"/>
      <c r="F755" s="51"/>
      <c r="G755" s="52"/>
      <c r="H755" s="58"/>
      <c r="I755" s="54"/>
      <c r="J755" s="55"/>
      <c r="K755" s="58"/>
      <c r="L755" s="58"/>
    </row>
    <row r="756" ht="50.25" customHeight="1">
      <c r="A756" s="40"/>
      <c r="B756" s="44" t="str">
        <f t="shared" si="1"/>
        <v>CNT</v>
      </c>
      <c r="C756" s="46"/>
      <c r="D756" s="142"/>
      <c r="E756" s="146"/>
      <c r="F756" s="51"/>
      <c r="G756" s="52"/>
      <c r="H756" s="58"/>
      <c r="I756" s="54"/>
      <c r="J756" s="55"/>
      <c r="K756" s="58"/>
      <c r="L756" s="58"/>
    </row>
    <row r="757" ht="50.25" customHeight="1">
      <c r="A757" s="40"/>
      <c r="B757" s="44" t="str">
        <f t="shared" si="1"/>
        <v>CNT</v>
      </c>
      <c r="C757" s="46"/>
      <c r="D757" s="142"/>
      <c r="E757" s="146"/>
      <c r="F757" s="51"/>
      <c r="G757" s="52"/>
      <c r="H757" s="58"/>
      <c r="I757" s="54"/>
      <c r="J757" s="55"/>
      <c r="K757" s="58"/>
      <c r="L757" s="58"/>
    </row>
    <row r="758" ht="50.25" customHeight="1">
      <c r="A758" s="40"/>
      <c r="B758" s="44" t="str">
        <f t="shared" si="1"/>
        <v>CNT</v>
      </c>
      <c r="C758" s="46"/>
      <c r="D758" s="142"/>
      <c r="E758" s="146"/>
      <c r="F758" s="51"/>
      <c r="G758" s="52"/>
      <c r="H758" s="58"/>
      <c r="I758" s="54"/>
      <c r="J758" s="55"/>
      <c r="K758" s="58"/>
      <c r="L758" s="58"/>
    </row>
    <row r="759" ht="50.25" customHeight="1">
      <c r="A759" s="40"/>
      <c r="B759" s="44" t="str">
        <f t="shared" si="1"/>
        <v>CNT</v>
      </c>
      <c r="C759" s="46"/>
      <c r="D759" s="142"/>
      <c r="E759" s="146"/>
      <c r="F759" s="51"/>
      <c r="G759" s="52"/>
      <c r="H759" s="58"/>
      <c r="I759" s="54"/>
      <c r="J759" s="55"/>
      <c r="K759" s="58"/>
      <c r="L759" s="58"/>
    </row>
    <row r="760" ht="50.25" customHeight="1">
      <c r="A760" s="40"/>
      <c r="B760" s="44" t="str">
        <f t="shared" si="1"/>
        <v>CNT</v>
      </c>
      <c r="C760" s="46"/>
      <c r="D760" s="142"/>
      <c r="E760" s="146"/>
      <c r="F760" s="51"/>
      <c r="G760" s="52"/>
      <c r="H760" s="58"/>
      <c r="I760" s="54"/>
      <c r="J760" s="55"/>
      <c r="K760" s="58"/>
      <c r="L760" s="58"/>
    </row>
    <row r="761" ht="50.25" customHeight="1">
      <c r="A761" s="40"/>
      <c r="B761" s="44" t="str">
        <f t="shared" si="1"/>
        <v>CNT</v>
      </c>
      <c r="C761" s="46"/>
      <c r="D761" s="142"/>
      <c r="E761" s="146"/>
      <c r="F761" s="51"/>
      <c r="G761" s="52"/>
      <c r="H761" s="58"/>
      <c r="I761" s="54"/>
      <c r="J761" s="55"/>
      <c r="K761" s="58"/>
      <c r="L761" s="58"/>
    </row>
    <row r="762" ht="50.25" customHeight="1">
      <c r="A762" s="40"/>
      <c r="B762" s="44" t="str">
        <f t="shared" si="1"/>
        <v>CNT</v>
      </c>
      <c r="C762" s="46"/>
      <c r="D762" s="142"/>
      <c r="E762" s="146"/>
      <c r="F762" s="51"/>
      <c r="G762" s="52"/>
      <c r="H762" s="58"/>
      <c r="I762" s="54"/>
      <c r="J762" s="55"/>
      <c r="K762" s="58"/>
      <c r="L762" s="58"/>
    </row>
    <row r="763" ht="50.25" customHeight="1">
      <c r="A763" s="40"/>
      <c r="B763" s="44" t="str">
        <f t="shared" si="1"/>
        <v>CNT</v>
      </c>
      <c r="C763" s="46"/>
      <c r="D763" s="142"/>
      <c r="E763" s="146"/>
      <c r="F763" s="51"/>
      <c r="G763" s="52"/>
      <c r="H763" s="58"/>
      <c r="I763" s="54"/>
      <c r="J763" s="55"/>
      <c r="K763" s="58"/>
      <c r="L763" s="58"/>
    </row>
    <row r="764" ht="50.25" customHeight="1">
      <c r="A764" s="40"/>
      <c r="B764" s="44" t="str">
        <f t="shared" si="1"/>
        <v>CNT</v>
      </c>
      <c r="C764" s="46"/>
      <c r="D764" s="142"/>
      <c r="E764" s="146"/>
      <c r="F764" s="51"/>
      <c r="G764" s="52"/>
      <c r="H764" s="58"/>
      <c r="I764" s="54"/>
      <c r="J764" s="55"/>
      <c r="K764" s="58"/>
      <c r="L764" s="58"/>
    </row>
    <row r="765" ht="50.25" customHeight="1">
      <c r="A765" s="40"/>
      <c r="B765" s="44" t="str">
        <f t="shared" si="1"/>
        <v>CNT</v>
      </c>
      <c r="C765" s="46"/>
      <c r="D765" s="142"/>
      <c r="E765" s="146"/>
      <c r="F765" s="51"/>
      <c r="G765" s="52"/>
      <c r="H765" s="58"/>
      <c r="I765" s="54"/>
      <c r="J765" s="55"/>
      <c r="K765" s="58"/>
      <c r="L765" s="58"/>
    </row>
    <row r="766" ht="50.25" customHeight="1">
      <c r="A766" s="40"/>
      <c r="B766" s="44" t="str">
        <f t="shared" si="1"/>
        <v>CNT</v>
      </c>
      <c r="C766" s="46"/>
      <c r="D766" s="142"/>
      <c r="E766" s="146"/>
      <c r="F766" s="51"/>
      <c r="G766" s="52"/>
      <c r="H766" s="58"/>
      <c r="I766" s="54"/>
      <c r="J766" s="55"/>
      <c r="K766" s="58"/>
      <c r="L766" s="58"/>
    </row>
    <row r="767" ht="50.25" customHeight="1">
      <c r="A767" s="40"/>
      <c r="B767" s="44" t="str">
        <f t="shared" si="1"/>
        <v>CNT</v>
      </c>
      <c r="C767" s="46"/>
      <c r="D767" s="142"/>
      <c r="E767" s="146"/>
      <c r="F767" s="51"/>
      <c r="G767" s="52"/>
      <c r="H767" s="58"/>
      <c r="I767" s="54"/>
      <c r="J767" s="55"/>
      <c r="K767" s="58"/>
      <c r="L767" s="58"/>
    </row>
    <row r="768" ht="50.25" customHeight="1">
      <c r="A768" s="40"/>
      <c r="B768" s="44" t="str">
        <f t="shared" si="1"/>
        <v>CNT</v>
      </c>
      <c r="C768" s="46"/>
      <c r="D768" s="142"/>
      <c r="E768" s="146"/>
      <c r="F768" s="51"/>
      <c r="G768" s="52"/>
      <c r="H768" s="58"/>
      <c r="I768" s="54"/>
      <c r="J768" s="55"/>
      <c r="K768" s="58"/>
      <c r="L768" s="58"/>
    </row>
    <row r="769" ht="50.25" customHeight="1">
      <c r="A769" s="40"/>
      <c r="B769" s="44" t="str">
        <f t="shared" si="1"/>
        <v>CNT</v>
      </c>
      <c r="C769" s="46"/>
      <c r="D769" s="142"/>
      <c r="E769" s="146"/>
      <c r="F769" s="51"/>
      <c r="G769" s="52"/>
      <c r="H769" s="58"/>
      <c r="I769" s="54"/>
      <c r="J769" s="55"/>
      <c r="K769" s="58"/>
      <c r="L769" s="58"/>
    </row>
    <row r="770" ht="50.25" customHeight="1">
      <c r="A770" s="40"/>
      <c r="B770" s="44" t="str">
        <f t="shared" si="1"/>
        <v>CNT</v>
      </c>
      <c r="C770" s="46"/>
      <c r="D770" s="142"/>
      <c r="E770" s="146"/>
      <c r="F770" s="51"/>
      <c r="G770" s="52"/>
      <c r="H770" s="58"/>
      <c r="I770" s="54"/>
      <c r="J770" s="55"/>
      <c r="K770" s="58"/>
      <c r="L770" s="58"/>
    </row>
    <row r="771" ht="50.25" customHeight="1">
      <c r="A771" s="40"/>
      <c r="B771" s="44" t="str">
        <f t="shared" si="1"/>
        <v>CNT</v>
      </c>
      <c r="C771" s="46"/>
      <c r="D771" s="142"/>
      <c r="E771" s="146"/>
      <c r="F771" s="51"/>
      <c r="G771" s="52"/>
      <c r="H771" s="58"/>
      <c r="I771" s="54"/>
      <c r="J771" s="55"/>
      <c r="K771" s="58"/>
      <c r="L771" s="58"/>
    </row>
    <row r="772" ht="50.25" customHeight="1">
      <c r="A772" s="40"/>
      <c r="B772" s="44" t="str">
        <f t="shared" si="1"/>
        <v>CNT</v>
      </c>
      <c r="C772" s="46"/>
      <c r="D772" s="142"/>
      <c r="E772" s="146"/>
      <c r="F772" s="51"/>
      <c r="G772" s="52"/>
      <c r="H772" s="58"/>
      <c r="I772" s="54"/>
      <c r="J772" s="55"/>
      <c r="K772" s="58"/>
      <c r="L772" s="58"/>
    </row>
    <row r="773" ht="50.25" customHeight="1">
      <c r="A773" s="40"/>
      <c r="B773" s="44" t="str">
        <f t="shared" si="1"/>
        <v>CNT</v>
      </c>
      <c r="C773" s="46"/>
      <c r="D773" s="142"/>
      <c r="E773" s="146"/>
      <c r="F773" s="51"/>
      <c r="G773" s="52"/>
      <c r="H773" s="58"/>
      <c r="I773" s="54"/>
      <c r="J773" s="55"/>
      <c r="K773" s="58"/>
      <c r="L773" s="58"/>
    </row>
    <row r="774" ht="50.25" customHeight="1">
      <c r="A774" s="40"/>
      <c r="B774" s="44" t="str">
        <f t="shared" si="1"/>
        <v>CNT</v>
      </c>
      <c r="C774" s="46"/>
      <c r="D774" s="142"/>
      <c r="E774" s="146"/>
      <c r="F774" s="51"/>
      <c r="G774" s="52"/>
      <c r="H774" s="58"/>
      <c r="I774" s="54"/>
      <c r="J774" s="55"/>
      <c r="K774" s="58"/>
      <c r="L774" s="58"/>
    </row>
    <row r="775" ht="50.25" customHeight="1">
      <c r="A775" s="40"/>
      <c r="B775" s="44" t="str">
        <f t="shared" si="1"/>
        <v>CNT</v>
      </c>
      <c r="C775" s="46"/>
      <c r="D775" s="142"/>
      <c r="E775" s="146"/>
      <c r="F775" s="51"/>
      <c r="G775" s="52"/>
      <c r="H775" s="58"/>
      <c r="I775" s="54"/>
      <c r="J775" s="55"/>
      <c r="K775" s="58"/>
      <c r="L775" s="58"/>
    </row>
    <row r="776" ht="50.25" customHeight="1">
      <c r="A776" s="40"/>
      <c r="B776" s="44" t="str">
        <f t="shared" si="1"/>
        <v>CNT</v>
      </c>
      <c r="C776" s="46"/>
      <c r="D776" s="142"/>
      <c r="E776" s="146"/>
      <c r="F776" s="51"/>
      <c r="G776" s="52"/>
      <c r="H776" s="58"/>
      <c r="I776" s="54"/>
      <c r="J776" s="55"/>
      <c r="K776" s="58"/>
      <c r="L776" s="58"/>
    </row>
    <row r="777" ht="50.25" customHeight="1">
      <c r="A777" s="40"/>
      <c r="B777" s="44" t="str">
        <f t="shared" si="1"/>
        <v>CNT</v>
      </c>
      <c r="C777" s="46"/>
      <c r="D777" s="142"/>
      <c r="E777" s="146"/>
      <c r="F777" s="51"/>
      <c r="G777" s="52"/>
      <c r="H777" s="58"/>
      <c r="I777" s="54"/>
      <c r="J777" s="55"/>
      <c r="K777" s="58"/>
      <c r="L777" s="58"/>
    </row>
    <row r="778" ht="50.25" customHeight="1">
      <c r="A778" s="40"/>
      <c r="B778" s="44" t="str">
        <f t="shared" si="1"/>
        <v>CNT</v>
      </c>
      <c r="C778" s="46"/>
      <c r="D778" s="142"/>
      <c r="E778" s="146"/>
      <c r="F778" s="51"/>
      <c r="G778" s="52"/>
      <c r="H778" s="58"/>
      <c r="I778" s="54"/>
      <c r="J778" s="55"/>
      <c r="K778" s="58"/>
      <c r="L778" s="58"/>
    </row>
    <row r="779" ht="50.25" customHeight="1">
      <c r="A779" s="40"/>
      <c r="B779" s="44" t="str">
        <f t="shared" si="1"/>
        <v>CNT</v>
      </c>
      <c r="C779" s="46"/>
      <c r="D779" s="142"/>
      <c r="E779" s="146"/>
      <c r="F779" s="51"/>
      <c r="G779" s="52"/>
      <c r="H779" s="58"/>
      <c r="I779" s="54"/>
      <c r="J779" s="55"/>
      <c r="K779" s="58"/>
      <c r="L779" s="58"/>
    </row>
    <row r="780" ht="50.25" customHeight="1">
      <c r="A780" s="40"/>
      <c r="B780" s="44" t="str">
        <f t="shared" si="1"/>
        <v>CNT</v>
      </c>
      <c r="C780" s="46"/>
      <c r="D780" s="142"/>
      <c r="E780" s="146"/>
      <c r="F780" s="51"/>
      <c r="G780" s="52"/>
      <c r="H780" s="58"/>
      <c r="I780" s="54"/>
      <c r="J780" s="55"/>
      <c r="K780" s="58"/>
      <c r="L780" s="58"/>
    </row>
    <row r="781" ht="50.25" customHeight="1">
      <c r="A781" s="40"/>
      <c r="B781" s="44" t="str">
        <f t="shared" si="1"/>
        <v>CNT</v>
      </c>
      <c r="C781" s="46"/>
      <c r="D781" s="142"/>
      <c r="E781" s="146"/>
      <c r="F781" s="51"/>
      <c r="G781" s="52"/>
      <c r="H781" s="58"/>
      <c r="I781" s="54"/>
      <c r="J781" s="55"/>
      <c r="K781" s="58"/>
      <c r="L781" s="58"/>
    </row>
    <row r="782" ht="50.25" customHeight="1">
      <c r="A782" s="40"/>
      <c r="B782" s="44" t="str">
        <f t="shared" si="1"/>
        <v>CNT</v>
      </c>
      <c r="C782" s="46"/>
      <c r="D782" s="142"/>
      <c r="E782" s="146"/>
      <c r="F782" s="51"/>
      <c r="G782" s="52"/>
      <c r="H782" s="58"/>
      <c r="I782" s="54"/>
      <c r="J782" s="55"/>
      <c r="K782" s="58"/>
      <c r="L782" s="58"/>
    </row>
    <row r="783" ht="50.25" customHeight="1">
      <c r="A783" s="40"/>
      <c r="B783" s="44" t="str">
        <f t="shared" si="1"/>
        <v>CNT</v>
      </c>
      <c r="C783" s="46"/>
      <c r="D783" s="142"/>
      <c r="E783" s="146"/>
      <c r="F783" s="51"/>
      <c r="G783" s="52"/>
      <c r="H783" s="58"/>
      <c r="I783" s="54"/>
      <c r="J783" s="55"/>
      <c r="K783" s="58"/>
      <c r="L783" s="58"/>
    </row>
    <row r="784" ht="50.25" customHeight="1">
      <c r="A784" s="40"/>
      <c r="B784" s="44" t="str">
        <f t="shared" si="1"/>
        <v>CNT</v>
      </c>
      <c r="C784" s="46"/>
      <c r="D784" s="142"/>
      <c r="E784" s="146"/>
      <c r="F784" s="51"/>
      <c r="G784" s="52"/>
      <c r="H784" s="58"/>
      <c r="I784" s="54"/>
      <c r="J784" s="55"/>
      <c r="K784" s="58"/>
      <c r="L784" s="58"/>
    </row>
    <row r="785" ht="50.25" customHeight="1">
      <c r="A785" s="40"/>
      <c r="B785" s="44" t="str">
        <f t="shared" si="1"/>
        <v>CNT</v>
      </c>
      <c r="C785" s="46"/>
      <c r="D785" s="142"/>
      <c r="E785" s="146"/>
      <c r="F785" s="51"/>
      <c r="G785" s="52"/>
      <c r="H785" s="58"/>
      <c r="I785" s="54"/>
      <c r="J785" s="55"/>
      <c r="K785" s="58"/>
      <c r="L785" s="58"/>
    </row>
    <row r="786" ht="50.25" customHeight="1">
      <c r="A786" s="40"/>
      <c r="B786" s="44" t="str">
        <f t="shared" si="1"/>
        <v>CNT</v>
      </c>
      <c r="C786" s="46"/>
      <c r="D786" s="142"/>
      <c r="E786" s="146"/>
      <c r="F786" s="51"/>
      <c r="G786" s="52"/>
      <c r="H786" s="58"/>
      <c r="I786" s="54"/>
      <c r="J786" s="55"/>
      <c r="K786" s="58"/>
      <c r="L786" s="58"/>
    </row>
    <row r="787" ht="50.25" customHeight="1">
      <c r="A787" s="40"/>
      <c r="B787" s="44" t="str">
        <f t="shared" si="1"/>
        <v>CNT</v>
      </c>
      <c r="C787" s="46"/>
      <c r="D787" s="142"/>
      <c r="E787" s="146"/>
      <c r="F787" s="51"/>
      <c r="G787" s="52"/>
      <c r="H787" s="58"/>
      <c r="I787" s="54"/>
      <c r="J787" s="55"/>
      <c r="K787" s="58"/>
      <c r="L787" s="58"/>
    </row>
    <row r="788" ht="50.25" customHeight="1">
      <c r="A788" s="40"/>
      <c r="B788" s="44" t="str">
        <f t="shared" si="1"/>
        <v>CNT</v>
      </c>
      <c r="C788" s="46"/>
      <c r="D788" s="142"/>
      <c r="E788" s="146"/>
      <c r="F788" s="51"/>
      <c r="G788" s="52"/>
      <c r="H788" s="58"/>
      <c r="I788" s="54"/>
      <c r="J788" s="55"/>
      <c r="K788" s="58"/>
      <c r="L788" s="58"/>
    </row>
    <row r="789" ht="50.25" customHeight="1">
      <c r="A789" s="40"/>
      <c r="B789" s="44" t="str">
        <f t="shared" si="1"/>
        <v>CNT</v>
      </c>
      <c r="C789" s="46"/>
      <c r="D789" s="142"/>
      <c r="E789" s="146"/>
      <c r="F789" s="51"/>
      <c r="G789" s="52"/>
      <c r="H789" s="58"/>
      <c r="I789" s="54"/>
      <c r="J789" s="55"/>
      <c r="K789" s="58"/>
      <c r="L789" s="58"/>
    </row>
    <row r="790" ht="50.25" customHeight="1">
      <c r="A790" s="40"/>
      <c r="B790" s="44" t="str">
        <f t="shared" si="1"/>
        <v>CNT</v>
      </c>
      <c r="C790" s="46"/>
      <c r="D790" s="142"/>
      <c r="E790" s="146"/>
      <c r="F790" s="51"/>
      <c r="G790" s="52"/>
      <c r="H790" s="58"/>
      <c r="I790" s="54"/>
      <c r="J790" s="55"/>
      <c r="K790" s="58"/>
      <c r="L790" s="58"/>
    </row>
    <row r="791" ht="50.25" customHeight="1">
      <c r="A791" s="40"/>
      <c r="B791" s="44" t="str">
        <f t="shared" si="1"/>
        <v>CNT</v>
      </c>
      <c r="C791" s="46"/>
      <c r="D791" s="142"/>
      <c r="E791" s="146"/>
      <c r="F791" s="51"/>
      <c r="G791" s="52"/>
      <c r="H791" s="58"/>
      <c r="I791" s="54"/>
      <c r="J791" s="55"/>
      <c r="K791" s="58"/>
      <c r="L791" s="58"/>
    </row>
    <row r="792" ht="50.25" customHeight="1">
      <c r="A792" s="40"/>
      <c r="B792" s="44" t="str">
        <f t="shared" si="1"/>
        <v>CNT</v>
      </c>
      <c r="C792" s="46"/>
      <c r="D792" s="142"/>
      <c r="E792" s="146"/>
      <c r="F792" s="51"/>
      <c r="G792" s="52"/>
      <c r="H792" s="58"/>
      <c r="I792" s="54"/>
      <c r="J792" s="55"/>
      <c r="K792" s="58"/>
      <c r="L792" s="58"/>
    </row>
    <row r="793" ht="50.25" customHeight="1">
      <c r="A793" s="40"/>
      <c r="B793" s="44" t="str">
        <f t="shared" si="1"/>
        <v>CNT</v>
      </c>
      <c r="C793" s="46"/>
      <c r="D793" s="142"/>
      <c r="E793" s="146"/>
      <c r="F793" s="51"/>
      <c r="G793" s="52"/>
      <c r="H793" s="58"/>
      <c r="I793" s="54"/>
      <c r="J793" s="55"/>
      <c r="K793" s="58"/>
      <c r="L793" s="58"/>
    </row>
    <row r="794" ht="50.25" customHeight="1">
      <c r="A794" s="40"/>
      <c r="B794" s="44" t="str">
        <f t="shared" si="1"/>
        <v>CNT</v>
      </c>
      <c r="C794" s="46"/>
      <c r="D794" s="142"/>
      <c r="E794" s="146"/>
      <c r="F794" s="51"/>
      <c r="G794" s="52"/>
      <c r="H794" s="58"/>
      <c r="I794" s="54"/>
      <c r="J794" s="55"/>
      <c r="K794" s="58"/>
      <c r="L794" s="58"/>
    </row>
    <row r="795" ht="50.25" customHeight="1">
      <c r="A795" s="40"/>
      <c r="B795" s="44" t="str">
        <f t="shared" si="1"/>
        <v>CNT</v>
      </c>
      <c r="C795" s="46"/>
      <c r="D795" s="142"/>
      <c r="E795" s="146"/>
      <c r="F795" s="51"/>
      <c r="G795" s="52"/>
      <c r="H795" s="58"/>
      <c r="I795" s="54"/>
      <c r="J795" s="55"/>
      <c r="K795" s="58"/>
      <c r="L795" s="58"/>
    </row>
    <row r="796" ht="50.25" customHeight="1">
      <c r="A796" s="40"/>
      <c r="B796" s="44" t="str">
        <f t="shared" si="1"/>
        <v>CNT</v>
      </c>
      <c r="C796" s="46"/>
      <c r="D796" s="142"/>
      <c r="E796" s="146"/>
      <c r="F796" s="51"/>
      <c r="G796" s="52"/>
      <c r="H796" s="58"/>
      <c r="I796" s="54"/>
      <c r="J796" s="55"/>
      <c r="K796" s="58"/>
      <c r="L796" s="58"/>
    </row>
    <row r="797" ht="50.25" customHeight="1">
      <c r="A797" s="40"/>
      <c r="B797" s="44" t="str">
        <f t="shared" si="1"/>
        <v>CNT</v>
      </c>
      <c r="C797" s="46"/>
      <c r="D797" s="142"/>
      <c r="E797" s="146"/>
      <c r="F797" s="51"/>
      <c r="G797" s="52"/>
      <c r="H797" s="58"/>
      <c r="I797" s="54"/>
      <c r="J797" s="55"/>
      <c r="K797" s="58"/>
      <c r="L797" s="58"/>
    </row>
    <row r="798" ht="50.25" customHeight="1">
      <c r="A798" s="40"/>
      <c r="B798" s="44" t="str">
        <f t="shared" si="1"/>
        <v>CNT</v>
      </c>
      <c r="C798" s="46"/>
      <c r="D798" s="142"/>
      <c r="E798" s="146"/>
      <c r="F798" s="51"/>
      <c r="G798" s="52"/>
      <c r="H798" s="58"/>
      <c r="I798" s="54"/>
      <c r="J798" s="55"/>
      <c r="K798" s="58"/>
      <c r="L798" s="58"/>
    </row>
    <row r="799" ht="50.25" customHeight="1">
      <c r="A799" s="40"/>
      <c r="B799" s="44" t="str">
        <f t="shared" si="1"/>
        <v>CNT</v>
      </c>
      <c r="C799" s="46"/>
      <c r="D799" s="142"/>
      <c r="E799" s="146"/>
      <c r="F799" s="51"/>
      <c r="G799" s="52"/>
      <c r="H799" s="58"/>
      <c r="I799" s="54"/>
      <c r="J799" s="55"/>
      <c r="K799" s="58"/>
      <c r="L799" s="58"/>
    </row>
    <row r="800" ht="50.25" customHeight="1">
      <c r="A800" s="40"/>
      <c r="B800" s="44" t="str">
        <f t="shared" si="1"/>
        <v>CNT</v>
      </c>
      <c r="C800" s="46"/>
      <c r="D800" s="142"/>
      <c r="E800" s="146"/>
      <c r="F800" s="51"/>
      <c r="G800" s="52"/>
      <c r="H800" s="58"/>
      <c r="I800" s="54"/>
      <c r="J800" s="55"/>
      <c r="K800" s="58"/>
      <c r="L800" s="58"/>
    </row>
    <row r="801" ht="50.25" customHeight="1">
      <c r="A801" s="40"/>
      <c r="B801" s="44" t="str">
        <f t="shared" si="1"/>
        <v>CNT</v>
      </c>
      <c r="C801" s="46"/>
      <c r="D801" s="142"/>
      <c r="E801" s="146"/>
      <c r="F801" s="51"/>
      <c r="G801" s="52"/>
      <c r="H801" s="58"/>
      <c r="I801" s="54"/>
      <c r="J801" s="55"/>
      <c r="K801" s="58"/>
      <c r="L801" s="58"/>
    </row>
    <row r="802" ht="50.25" customHeight="1">
      <c r="A802" s="40"/>
      <c r="B802" s="44" t="str">
        <f t="shared" si="1"/>
        <v>CNT</v>
      </c>
      <c r="C802" s="46"/>
      <c r="D802" s="142"/>
      <c r="E802" s="146"/>
      <c r="F802" s="51"/>
      <c r="G802" s="52"/>
      <c r="H802" s="58"/>
      <c r="I802" s="54"/>
      <c r="J802" s="55"/>
      <c r="K802" s="58"/>
      <c r="L802" s="58"/>
    </row>
    <row r="803" ht="50.25" customHeight="1">
      <c r="A803" s="40"/>
      <c r="B803" s="44" t="str">
        <f t="shared" si="1"/>
        <v>CNT</v>
      </c>
      <c r="C803" s="46"/>
      <c r="D803" s="142"/>
      <c r="E803" s="146"/>
      <c r="F803" s="51"/>
      <c r="G803" s="52"/>
      <c r="H803" s="58"/>
      <c r="I803" s="54"/>
      <c r="J803" s="55"/>
      <c r="K803" s="58"/>
      <c r="L803" s="58"/>
    </row>
    <row r="804" ht="50.25" customHeight="1">
      <c r="A804" s="40"/>
      <c r="B804" s="44" t="str">
        <f t="shared" si="1"/>
        <v>CNT</v>
      </c>
      <c r="C804" s="46"/>
      <c r="D804" s="142"/>
      <c r="E804" s="146"/>
      <c r="F804" s="51"/>
      <c r="G804" s="52"/>
      <c r="H804" s="58"/>
      <c r="I804" s="54"/>
      <c r="J804" s="55"/>
      <c r="K804" s="58"/>
      <c r="L804" s="58"/>
    </row>
    <row r="805" ht="50.25" customHeight="1">
      <c r="A805" s="40"/>
      <c r="B805" s="44" t="str">
        <f t="shared" si="1"/>
        <v>CNT</v>
      </c>
      <c r="C805" s="46"/>
      <c r="D805" s="142"/>
      <c r="E805" s="146"/>
      <c r="F805" s="51"/>
      <c r="G805" s="52"/>
      <c r="H805" s="58"/>
      <c r="I805" s="54"/>
      <c r="J805" s="55"/>
      <c r="K805" s="58"/>
      <c r="L805" s="58"/>
    </row>
    <row r="806" ht="50.25" customHeight="1">
      <c r="A806" s="40"/>
      <c r="B806" s="44" t="str">
        <f t="shared" si="1"/>
        <v>CNT</v>
      </c>
      <c r="C806" s="46"/>
      <c r="D806" s="142"/>
      <c r="E806" s="146"/>
      <c r="F806" s="51"/>
      <c r="G806" s="52"/>
      <c r="H806" s="58"/>
      <c r="I806" s="54"/>
      <c r="J806" s="55"/>
      <c r="K806" s="58"/>
      <c r="L806" s="58"/>
    </row>
    <row r="807" ht="50.25" customHeight="1">
      <c r="A807" s="40"/>
      <c r="B807" s="44" t="str">
        <f t="shared" si="1"/>
        <v>CNT</v>
      </c>
      <c r="C807" s="46"/>
      <c r="D807" s="142"/>
      <c r="E807" s="146"/>
      <c r="F807" s="51"/>
      <c r="G807" s="52"/>
      <c r="H807" s="58"/>
      <c r="I807" s="54"/>
      <c r="J807" s="55"/>
      <c r="K807" s="58"/>
      <c r="L807" s="58"/>
    </row>
    <row r="808" ht="50.25" customHeight="1">
      <c r="A808" s="40"/>
      <c r="B808" s="44" t="str">
        <f t="shared" si="1"/>
        <v>CNT</v>
      </c>
      <c r="C808" s="46"/>
      <c r="D808" s="142"/>
      <c r="E808" s="146"/>
      <c r="F808" s="51"/>
      <c r="G808" s="52"/>
      <c r="H808" s="58"/>
      <c r="I808" s="54"/>
      <c r="J808" s="55"/>
      <c r="K808" s="58"/>
      <c r="L808" s="58"/>
    </row>
    <row r="809" ht="50.25" customHeight="1">
      <c r="A809" s="40"/>
      <c r="B809" s="44" t="str">
        <f t="shared" si="1"/>
        <v>CNT</v>
      </c>
      <c r="C809" s="46"/>
      <c r="D809" s="142"/>
      <c r="E809" s="146"/>
      <c r="F809" s="51"/>
      <c r="G809" s="52"/>
      <c r="H809" s="58"/>
      <c r="I809" s="54"/>
      <c r="J809" s="55"/>
      <c r="K809" s="58"/>
      <c r="L809" s="58"/>
    </row>
    <row r="810" ht="50.25" customHeight="1">
      <c r="A810" s="40"/>
      <c r="B810" s="44" t="str">
        <f t="shared" si="1"/>
        <v>CNT</v>
      </c>
      <c r="C810" s="46"/>
      <c r="D810" s="142"/>
      <c r="E810" s="146"/>
      <c r="F810" s="51"/>
      <c r="G810" s="52"/>
      <c r="H810" s="58"/>
      <c r="I810" s="54"/>
      <c r="J810" s="55"/>
      <c r="K810" s="58"/>
      <c r="L810" s="58"/>
    </row>
    <row r="811" ht="50.25" customHeight="1">
      <c r="A811" s="40"/>
      <c r="B811" s="44" t="str">
        <f t="shared" si="1"/>
        <v>CNT</v>
      </c>
      <c r="C811" s="46"/>
      <c r="D811" s="142"/>
      <c r="E811" s="146"/>
      <c r="F811" s="51"/>
      <c r="G811" s="52"/>
      <c r="H811" s="58"/>
      <c r="I811" s="54"/>
      <c r="J811" s="55"/>
      <c r="K811" s="58"/>
      <c r="L811" s="58"/>
    </row>
    <row r="812" ht="50.25" customHeight="1">
      <c r="A812" s="40"/>
      <c r="B812" s="44" t="str">
        <f t="shared" si="1"/>
        <v>CNT</v>
      </c>
      <c r="C812" s="46"/>
      <c r="D812" s="142"/>
      <c r="E812" s="146"/>
      <c r="F812" s="51"/>
      <c r="G812" s="52"/>
      <c r="H812" s="58"/>
      <c r="I812" s="54"/>
      <c r="J812" s="55"/>
      <c r="K812" s="58"/>
      <c r="L812" s="58"/>
    </row>
    <row r="813" ht="50.25" customHeight="1">
      <c r="A813" s="40"/>
      <c r="B813" s="44" t="str">
        <f t="shared" si="1"/>
        <v>CNT</v>
      </c>
      <c r="C813" s="46"/>
      <c r="D813" s="142"/>
      <c r="E813" s="146"/>
      <c r="F813" s="51"/>
      <c r="G813" s="52"/>
      <c r="H813" s="58"/>
      <c r="I813" s="54"/>
      <c r="J813" s="55"/>
      <c r="K813" s="58"/>
      <c r="L813" s="58"/>
    </row>
    <row r="814" ht="50.25" customHeight="1">
      <c r="A814" s="40"/>
      <c r="B814" s="44" t="str">
        <f t="shared" si="1"/>
        <v>CNT</v>
      </c>
      <c r="C814" s="46"/>
      <c r="D814" s="142"/>
      <c r="E814" s="146"/>
      <c r="F814" s="51"/>
      <c r="G814" s="52"/>
      <c r="H814" s="58"/>
      <c r="I814" s="54"/>
      <c r="J814" s="55"/>
      <c r="K814" s="58"/>
      <c r="L814" s="58"/>
    </row>
    <row r="815" ht="50.25" customHeight="1">
      <c r="A815" s="40"/>
      <c r="B815" s="44" t="str">
        <f t="shared" si="1"/>
        <v>CNT</v>
      </c>
      <c r="C815" s="46"/>
      <c r="D815" s="142"/>
      <c r="E815" s="146"/>
      <c r="F815" s="51"/>
      <c r="G815" s="52"/>
      <c r="H815" s="58"/>
      <c r="I815" s="54"/>
      <c r="J815" s="55"/>
      <c r="K815" s="58"/>
      <c r="L815" s="58"/>
    </row>
    <row r="816" ht="50.25" customHeight="1">
      <c r="A816" s="40"/>
      <c r="B816" s="44" t="str">
        <f t="shared" si="1"/>
        <v>CNT</v>
      </c>
      <c r="C816" s="46"/>
      <c r="D816" s="142"/>
      <c r="E816" s="146"/>
      <c r="F816" s="51"/>
      <c r="G816" s="52"/>
      <c r="H816" s="58"/>
      <c r="I816" s="54"/>
      <c r="J816" s="55"/>
      <c r="K816" s="58"/>
      <c r="L816" s="58"/>
    </row>
    <row r="817" ht="50.25" customHeight="1">
      <c r="A817" s="40"/>
      <c r="B817" s="44" t="str">
        <f t="shared" si="1"/>
        <v>CNT</v>
      </c>
      <c r="C817" s="46"/>
      <c r="D817" s="142"/>
      <c r="E817" s="146"/>
      <c r="F817" s="51"/>
      <c r="G817" s="52"/>
      <c r="H817" s="58"/>
      <c r="I817" s="54"/>
      <c r="J817" s="55"/>
      <c r="K817" s="58"/>
      <c r="L817" s="58"/>
    </row>
    <row r="818" ht="50.25" customHeight="1">
      <c r="A818" s="40"/>
      <c r="B818" s="44" t="str">
        <f t="shared" si="1"/>
        <v>CNT</v>
      </c>
      <c r="C818" s="46"/>
      <c r="D818" s="142"/>
      <c r="E818" s="146"/>
      <c r="F818" s="51"/>
      <c r="G818" s="52"/>
      <c r="H818" s="58"/>
      <c r="I818" s="54"/>
      <c r="J818" s="55"/>
      <c r="K818" s="58"/>
      <c r="L818" s="58"/>
    </row>
    <row r="819" ht="50.25" customHeight="1">
      <c r="A819" s="40"/>
      <c r="B819" s="44" t="str">
        <f t="shared" si="1"/>
        <v>CNT</v>
      </c>
      <c r="C819" s="46"/>
      <c r="D819" s="142"/>
      <c r="E819" s="146"/>
      <c r="F819" s="51"/>
      <c r="G819" s="52"/>
      <c r="H819" s="58"/>
      <c r="I819" s="54"/>
      <c r="J819" s="55"/>
      <c r="K819" s="58"/>
      <c r="L819" s="58"/>
    </row>
    <row r="820" ht="50.25" customHeight="1">
      <c r="A820" s="40"/>
      <c r="B820" s="44" t="str">
        <f t="shared" si="1"/>
        <v>CNT</v>
      </c>
      <c r="C820" s="46"/>
      <c r="D820" s="142"/>
      <c r="E820" s="146"/>
      <c r="F820" s="51"/>
      <c r="G820" s="52"/>
      <c r="H820" s="58"/>
      <c r="I820" s="54"/>
      <c r="J820" s="55"/>
      <c r="K820" s="58"/>
      <c r="L820" s="58"/>
    </row>
    <row r="821" ht="50.25" customHeight="1">
      <c r="A821" s="40"/>
      <c r="B821" s="44" t="str">
        <f t="shared" si="1"/>
        <v>CNT</v>
      </c>
      <c r="C821" s="46"/>
      <c r="D821" s="142"/>
      <c r="E821" s="146"/>
      <c r="F821" s="51"/>
      <c r="G821" s="52"/>
      <c r="H821" s="58"/>
      <c r="I821" s="54"/>
      <c r="J821" s="55"/>
      <c r="K821" s="58"/>
      <c r="L821" s="58"/>
    </row>
    <row r="822" ht="50.25" customHeight="1">
      <c r="A822" s="40"/>
      <c r="B822" s="44" t="str">
        <f t="shared" si="1"/>
        <v>CNT</v>
      </c>
      <c r="C822" s="46"/>
      <c r="D822" s="142"/>
      <c r="E822" s="146"/>
      <c r="F822" s="51"/>
      <c r="G822" s="52"/>
      <c r="H822" s="58"/>
      <c r="I822" s="54"/>
      <c r="J822" s="55"/>
      <c r="K822" s="58"/>
      <c r="L822" s="58"/>
    </row>
    <row r="823" ht="50.25" customHeight="1">
      <c r="A823" s="40"/>
      <c r="B823" s="44" t="str">
        <f t="shared" si="1"/>
        <v>CNT</v>
      </c>
      <c r="C823" s="46"/>
      <c r="D823" s="142"/>
      <c r="E823" s="146"/>
      <c r="F823" s="51"/>
      <c r="G823" s="52"/>
      <c r="H823" s="58"/>
      <c r="I823" s="54"/>
      <c r="J823" s="55"/>
      <c r="K823" s="58"/>
      <c r="L823" s="58"/>
    </row>
    <row r="824" ht="50.25" customHeight="1">
      <c r="A824" s="40"/>
      <c r="B824" s="44" t="str">
        <f t="shared" si="1"/>
        <v>CNT</v>
      </c>
      <c r="C824" s="46"/>
      <c r="D824" s="142"/>
      <c r="E824" s="146"/>
      <c r="F824" s="51"/>
      <c r="G824" s="52"/>
      <c r="H824" s="58"/>
      <c r="I824" s="54"/>
      <c r="J824" s="55"/>
      <c r="K824" s="58"/>
      <c r="L824" s="58"/>
    </row>
    <row r="825" ht="50.25" customHeight="1">
      <c r="A825" s="40"/>
      <c r="B825" s="44" t="str">
        <f t="shared" si="1"/>
        <v>CNT</v>
      </c>
      <c r="C825" s="46"/>
      <c r="D825" s="142"/>
      <c r="E825" s="146"/>
      <c r="F825" s="51"/>
      <c r="G825" s="52"/>
      <c r="H825" s="58"/>
      <c r="I825" s="54"/>
      <c r="J825" s="55"/>
      <c r="K825" s="58"/>
      <c r="L825" s="58"/>
    </row>
    <row r="826" ht="50.25" customHeight="1">
      <c r="A826" s="40"/>
      <c r="B826" s="44" t="str">
        <f t="shared" si="1"/>
        <v>CNT</v>
      </c>
      <c r="C826" s="46"/>
      <c r="D826" s="142"/>
      <c r="E826" s="146"/>
      <c r="F826" s="51"/>
      <c r="G826" s="52"/>
      <c r="H826" s="58"/>
      <c r="I826" s="54"/>
      <c r="J826" s="55"/>
      <c r="K826" s="58"/>
      <c r="L826" s="58"/>
    </row>
    <row r="827" ht="50.25" customHeight="1">
      <c r="A827" s="40"/>
      <c r="B827" s="44" t="str">
        <f t="shared" si="1"/>
        <v>CNT</v>
      </c>
      <c r="C827" s="46"/>
      <c r="D827" s="142"/>
      <c r="E827" s="146"/>
      <c r="F827" s="51"/>
      <c r="G827" s="52"/>
      <c r="H827" s="58"/>
      <c r="I827" s="54"/>
      <c r="J827" s="55"/>
      <c r="K827" s="58"/>
      <c r="L827" s="58"/>
    </row>
    <row r="828" ht="50.25" customHeight="1">
      <c r="A828" s="40"/>
      <c r="B828" s="44" t="str">
        <f t="shared" si="1"/>
        <v>CNT</v>
      </c>
      <c r="C828" s="46"/>
      <c r="D828" s="142"/>
      <c r="E828" s="146"/>
      <c r="F828" s="51"/>
      <c r="G828" s="52"/>
      <c r="H828" s="58"/>
      <c r="I828" s="54"/>
      <c r="J828" s="55"/>
      <c r="K828" s="58"/>
      <c r="L828" s="58"/>
    </row>
    <row r="829" ht="50.25" customHeight="1">
      <c r="A829" s="40"/>
      <c r="B829" s="44" t="str">
        <f t="shared" si="1"/>
        <v>CNT</v>
      </c>
      <c r="C829" s="46"/>
      <c r="D829" s="142"/>
      <c r="E829" s="146"/>
      <c r="F829" s="51"/>
      <c r="G829" s="52"/>
      <c r="H829" s="58"/>
      <c r="I829" s="54"/>
      <c r="J829" s="55"/>
      <c r="K829" s="58"/>
      <c r="L829" s="58"/>
    </row>
    <row r="830" ht="50.25" customHeight="1">
      <c r="A830" s="40"/>
      <c r="B830" s="44" t="str">
        <f t="shared" si="1"/>
        <v>CNT</v>
      </c>
      <c r="C830" s="46"/>
      <c r="D830" s="142"/>
      <c r="E830" s="146"/>
      <c r="F830" s="51"/>
      <c r="G830" s="52"/>
      <c r="H830" s="58"/>
      <c r="I830" s="54"/>
      <c r="J830" s="55"/>
      <c r="K830" s="58"/>
      <c r="L830" s="58"/>
    </row>
    <row r="831" ht="50.25" customHeight="1">
      <c r="A831" s="40"/>
      <c r="B831" s="44" t="str">
        <f t="shared" si="1"/>
        <v>CNT</v>
      </c>
      <c r="C831" s="46"/>
      <c r="D831" s="142"/>
      <c r="E831" s="146"/>
      <c r="F831" s="51"/>
      <c r="G831" s="52"/>
      <c r="H831" s="58"/>
      <c r="I831" s="54"/>
      <c r="J831" s="55"/>
      <c r="K831" s="58"/>
      <c r="L831" s="58"/>
    </row>
    <row r="832" ht="50.25" customHeight="1">
      <c r="A832" s="40"/>
      <c r="B832" s="44" t="str">
        <f t="shared" si="1"/>
        <v>CNT</v>
      </c>
      <c r="C832" s="46"/>
      <c r="D832" s="142"/>
      <c r="E832" s="146"/>
      <c r="F832" s="51"/>
      <c r="G832" s="52"/>
      <c r="H832" s="58"/>
      <c r="I832" s="54"/>
      <c r="J832" s="55"/>
      <c r="K832" s="58"/>
      <c r="L832" s="58"/>
    </row>
    <row r="833" ht="50.25" customHeight="1">
      <c r="A833" s="40"/>
      <c r="B833" s="44" t="str">
        <f t="shared" si="1"/>
        <v>CNT</v>
      </c>
      <c r="C833" s="46"/>
      <c r="D833" s="142"/>
      <c r="E833" s="146"/>
      <c r="F833" s="51"/>
      <c r="G833" s="52"/>
      <c r="H833" s="58"/>
      <c r="I833" s="54"/>
      <c r="J833" s="55"/>
      <c r="K833" s="58"/>
      <c r="L833" s="58"/>
    </row>
    <row r="834" ht="50.25" customHeight="1">
      <c r="A834" s="40"/>
      <c r="B834" s="44" t="str">
        <f t="shared" si="1"/>
        <v>CNT</v>
      </c>
      <c r="C834" s="46"/>
      <c r="D834" s="142"/>
      <c r="E834" s="146"/>
      <c r="F834" s="51"/>
      <c r="G834" s="52"/>
      <c r="H834" s="58"/>
      <c r="I834" s="54"/>
      <c r="J834" s="55"/>
      <c r="K834" s="58"/>
      <c r="L834" s="58"/>
    </row>
    <row r="835" ht="50.25" customHeight="1">
      <c r="A835" s="40"/>
      <c r="B835" s="44" t="str">
        <f t="shared" si="1"/>
        <v>CNT</v>
      </c>
      <c r="C835" s="46"/>
      <c r="D835" s="142"/>
      <c r="E835" s="146"/>
      <c r="F835" s="51"/>
      <c r="G835" s="52"/>
      <c r="H835" s="58"/>
      <c r="I835" s="54"/>
      <c r="J835" s="55"/>
      <c r="K835" s="58"/>
      <c r="L835" s="58"/>
    </row>
    <row r="836" ht="50.25" customHeight="1">
      <c r="A836" s="40"/>
      <c r="B836" s="44" t="str">
        <f t="shared" si="1"/>
        <v>CNT</v>
      </c>
      <c r="C836" s="46"/>
      <c r="D836" s="142"/>
      <c r="E836" s="146"/>
      <c r="F836" s="51"/>
      <c r="G836" s="52"/>
      <c r="H836" s="58"/>
      <c r="I836" s="54"/>
      <c r="J836" s="55"/>
      <c r="K836" s="58"/>
      <c r="L836" s="58"/>
    </row>
    <row r="837" ht="50.25" customHeight="1">
      <c r="A837" s="40"/>
      <c r="B837" s="44" t="str">
        <f t="shared" si="1"/>
        <v>CNT</v>
      </c>
      <c r="C837" s="46"/>
      <c r="D837" s="142"/>
      <c r="E837" s="146"/>
      <c r="F837" s="51"/>
      <c r="G837" s="52"/>
      <c r="H837" s="58"/>
      <c r="I837" s="54"/>
      <c r="J837" s="55"/>
      <c r="K837" s="58"/>
      <c r="L837" s="58"/>
    </row>
    <row r="838" ht="50.25" customHeight="1">
      <c r="A838" s="40"/>
      <c r="B838" s="44" t="str">
        <f t="shared" si="1"/>
        <v>CNT</v>
      </c>
      <c r="C838" s="46"/>
      <c r="D838" s="142"/>
      <c r="E838" s="146"/>
      <c r="F838" s="51"/>
      <c r="G838" s="52"/>
      <c r="H838" s="58"/>
      <c r="I838" s="54"/>
      <c r="J838" s="55"/>
      <c r="K838" s="58"/>
      <c r="L838" s="58"/>
    </row>
    <row r="839" ht="50.25" customHeight="1">
      <c r="A839" s="40"/>
      <c r="B839" s="44" t="str">
        <f t="shared" si="1"/>
        <v>CNT</v>
      </c>
      <c r="C839" s="46"/>
      <c r="D839" s="142"/>
      <c r="E839" s="146"/>
      <c r="F839" s="51"/>
      <c r="G839" s="52"/>
      <c r="H839" s="58"/>
      <c r="I839" s="54"/>
      <c r="J839" s="55"/>
      <c r="K839" s="58"/>
      <c r="L839" s="58"/>
    </row>
    <row r="840" ht="50.25" customHeight="1">
      <c r="A840" s="40"/>
      <c r="B840" s="44" t="str">
        <f t="shared" si="1"/>
        <v>CNT</v>
      </c>
      <c r="C840" s="46"/>
      <c r="D840" s="142"/>
      <c r="E840" s="146"/>
      <c r="F840" s="51"/>
      <c r="G840" s="52"/>
      <c r="H840" s="58"/>
      <c r="I840" s="54"/>
      <c r="J840" s="55"/>
      <c r="K840" s="58"/>
      <c r="L840" s="58"/>
    </row>
    <row r="841" ht="50.25" customHeight="1">
      <c r="A841" s="40"/>
      <c r="B841" s="44" t="str">
        <f t="shared" si="1"/>
        <v>CNT</v>
      </c>
      <c r="C841" s="46"/>
      <c r="D841" s="142"/>
      <c r="E841" s="146"/>
      <c r="F841" s="51"/>
      <c r="G841" s="52"/>
      <c r="H841" s="58"/>
      <c r="I841" s="54"/>
      <c r="J841" s="55"/>
      <c r="K841" s="58"/>
      <c r="L841" s="58"/>
    </row>
    <row r="842" ht="50.25" customHeight="1">
      <c r="A842" s="40"/>
      <c r="B842" s="44" t="str">
        <f t="shared" si="1"/>
        <v>CNT</v>
      </c>
      <c r="C842" s="46"/>
      <c r="D842" s="142"/>
      <c r="E842" s="146"/>
      <c r="F842" s="51"/>
      <c r="G842" s="52"/>
      <c r="H842" s="58"/>
      <c r="I842" s="54"/>
      <c r="J842" s="55"/>
      <c r="K842" s="58"/>
      <c r="L842" s="58"/>
    </row>
    <row r="843" ht="50.25" customHeight="1">
      <c r="A843" s="40"/>
      <c r="B843" s="44" t="str">
        <f t="shared" si="1"/>
        <v>CNT</v>
      </c>
      <c r="C843" s="46"/>
      <c r="D843" s="142"/>
      <c r="E843" s="146"/>
      <c r="F843" s="51"/>
      <c r="G843" s="52"/>
      <c r="H843" s="58"/>
      <c r="I843" s="54"/>
      <c r="J843" s="55"/>
      <c r="K843" s="58"/>
      <c r="L843" s="58"/>
    </row>
    <row r="844" ht="50.25" customHeight="1">
      <c r="A844" s="40"/>
      <c r="B844" s="44" t="str">
        <f t="shared" si="1"/>
        <v>CNT</v>
      </c>
      <c r="C844" s="46"/>
      <c r="D844" s="142"/>
      <c r="E844" s="146"/>
      <c r="F844" s="51"/>
      <c r="G844" s="52"/>
      <c r="H844" s="58"/>
      <c r="I844" s="54"/>
      <c r="J844" s="55"/>
      <c r="K844" s="58"/>
      <c r="L844" s="58"/>
    </row>
    <row r="845" ht="50.25" customHeight="1">
      <c r="A845" s="40"/>
      <c r="B845" s="44" t="str">
        <f t="shared" si="1"/>
        <v>CNT</v>
      </c>
      <c r="C845" s="46"/>
      <c r="D845" s="142"/>
      <c r="E845" s="146"/>
      <c r="F845" s="51"/>
      <c r="G845" s="52"/>
      <c r="H845" s="58"/>
      <c r="I845" s="54"/>
      <c r="J845" s="55"/>
      <c r="K845" s="58"/>
      <c r="L845" s="58"/>
    </row>
    <row r="846" ht="50.25" customHeight="1">
      <c r="A846" s="40"/>
      <c r="B846" s="44" t="str">
        <f t="shared" si="1"/>
        <v>CNT</v>
      </c>
      <c r="C846" s="46"/>
      <c r="D846" s="142"/>
      <c r="E846" s="146"/>
      <c r="F846" s="51"/>
      <c r="G846" s="52"/>
      <c r="H846" s="58"/>
      <c r="I846" s="54"/>
      <c r="J846" s="55"/>
      <c r="K846" s="58"/>
      <c r="L846" s="58"/>
    </row>
    <row r="847" ht="50.25" customHeight="1">
      <c r="A847" s="40"/>
      <c r="B847" s="44" t="str">
        <f t="shared" si="1"/>
        <v>CNT</v>
      </c>
      <c r="C847" s="46"/>
      <c r="D847" s="142"/>
      <c r="E847" s="146"/>
      <c r="F847" s="51"/>
      <c r="G847" s="52"/>
      <c r="H847" s="58"/>
      <c r="I847" s="54"/>
      <c r="J847" s="55"/>
      <c r="K847" s="58"/>
      <c r="L847" s="58"/>
    </row>
    <row r="848" ht="50.25" customHeight="1">
      <c r="A848" s="40"/>
      <c r="B848" s="44" t="str">
        <f t="shared" si="1"/>
        <v>CNT</v>
      </c>
      <c r="C848" s="46"/>
      <c r="D848" s="142"/>
      <c r="E848" s="146"/>
      <c r="F848" s="51"/>
      <c r="G848" s="52"/>
      <c r="H848" s="58"/>
      <c r="I848" s="54"/>
      <c r="J848" s="55"/>
      <c r="K848" s="58"/>
      <c r="L848" s="58"/>
    </row>
    <row r="849" ht="50.25" customHeight="1">
      <c r="A849" s="40"/>
      <c r="B849" s="44" t="str">
        <f t="shared" si="1"/>
        <v>CNT</v>
      </c>
      <c r="C849" s="46"/>
      <c r="D849" s="142"/>
      <c r="E849" s="146"/>
      <c r="F849" s="51"/>
      <c r="G849" s="52"/>
      <c r="H849" s="58"/>
      <c r="I849" s="54"/>
      <c r="J849" s="55"/>
      <c r="K849" s="58"/>
      <c r="L849" s="58"/>
    </row>
    <row r="850" ht="50.25" customHeight="1">
      <c r="A850" s="40"/>
      <c r="B850" s="44" t="str">
        <f t="shared" si="1"/>
        <v>CNT</v>
      </c>
      <c r="C850" s="46"/>
      <c r="D850" s="142"/>
      <c r="E850" s="146"/>
      <c r="F850" s="51"/>
      <c r="G850" s="52"/>
      <c r="H850" s="58"/>
      <c r="I850" s="54"/>
      <c r="J850" s="55"/>
      <c r="K850" s="58"/>
      <c r="L850" s="58"/>
    </row>
    <row r="851" ht="50.25" customHeight="1">
      <c r="A851" s="40"/>
      <c r="B851" s="44" t="str">
        <f t="shared" si="1"/>
        <v>CNT</v>
      </c>
      <c r="C851" s="46"/>
      <c r="D851" s="142"/>
      <c r="E851" s="146"/>
      <c r="F851" s="51"/>
      <c r="G851" s="52"/>
      <c r="H851" s="58"/>
      <c r="I851" s="54"/>
      <c r="J851" s="55"/>
      <c r="K851" s="58"/>
      <c r="L851" s="58"/>
    </row>
    <row r="852" ht="50.25" customHeight="1">
      <c r="A852" s="40"/>
      <c r="B852" s="44" t="str">
        <f t="shared" si="1"/>
        <v>CNT</v>
      </c>
      <c r="C852" s="46"/>
      <c r="D852" s="142"/>
      <c r="E852" s="146"/>
      <c r="F852" s="51"/>
      <c r="G852" s="52"/>
      <c r="H852" s="58"/>
      <c r="I852" s="54"/>
      <c r="J852" s="55"/>
      <c r="K852" s="58"/>
      <c r="L852" s="58"/>
    </row>
    <row r="853" ht="50.25" customHeight="1">
      <c r="A853" s="40"/>
      <c r="B853" s="44" t="str">
        <f t="shared" si="1"/>
        <v>CNT</v>
      </c>
      <c r="C853" s="46"/>
      <c r="D853" s="142"/>
      <c r="E853" s="146"/>
      <c r="F853" s="51"/>
      <c r="G853" s="52"/>
      <c r="H853" s="58"/>
      <c r="I853" s="54"/>
      <c r="J853" s="55"/>
      <c r="K853" s="58"/>
      <c r="L853" s="58"/>
    </row>
    <row r="854" ht="50.25" customHeight="1">
      <c r="A854" s="40"/>
      <c r="B854" s="44" t="str">
        <f t="shared" si="1"/>
        <v>CNT</v>
      </c>
      <c r="C854" s="46"/>
      <c r="D854" s="142"/>
      <c r="E854" s="146"/>
      <c r="F854" s="51"/>
      <c r="G854" s="52"/>
      <c r="H854" s="58"/>
      <c r="I854" s="54"/>
      <c r="J854" s="55"/>
      <c r="K854" s="58"/>
      <c r="L854" s="58"/>
    </row>
    <row r="855" ht="50.25" customHeight="1">
      <c r="A855" s="40"/>
      <c r="B855" s="44" t="str">
        <f t="shared" si="1"/>
        <v>CNT</v>
      </c>
      <c r="C855" s="46"/>
      <c r="D855" s="142"/>
      <c r="E855" s="146"/>
      <c r="F855" s="51"/>
      <c r="G855" s="52"/>
      <c r="H855" s="58"/>
      <c r="I855" s="54"/>
      <c r="J855" s="55"/>
      <c r="K855" s="58"/>
      <c r="L855" s="58"/>
    </row>
    <row r="856" ht="50.25" customHeight="1">
      <c r="A856" s="40"/>
      <c r="B856" s="44" t="str">
        <f t="shared" si="1"/>
        <v>CNT</v>
      </c>
      <c r="C856" s="46"/>
      <c r="D856" s="142"/>
      <c r="E856" s="146"/>
      <c r="F856" s="51"/>
      <c r="G856" s="52"/>
      <c r="H856" s="58"/>
      <c r="I856" s="54"/>
      <c r="J856" s="55"/>
      <c r="K856" s="58"/>
      <c r="L856" s="58"/>
    </row>
    <row r="857" ht="50.25" customHeight="1">
      <c r="A857" s="40"/>
      <c r="B857" s="44" t="str">
        <f t="shared" si="1"/>
        <v>CNT</v>
      </c>
      <c r="C857" s="46"/>
      <c r="D857" s="142"/>
      <c r="E857" s="146"/>
      <c r="F857" s="51"/>
      <c r="G857" s="52"/>
      <c r="H857" s="58"/>
      <c r="I857" s="54"/>
      <c r="J857" s="55"/>
      <c r="K857" s="58"/>
      <c r="L857" s="58"/>
    </row>
    <row r="858" ht="50.25" customHeight="1">
      <c r="A858" s="40"/>
      <c r="B858" s="44" t="str">
        <f t="shared" si="1"/>
        <v>CNT</v>
      </c>
      <c r="C858" s="46"/>
      <c r="D858" s="142"/>
      <c r="E858" s="146"/>
      <c r="F858" s="51"/>
      <c r="G858" s="52"/>
      <c r="H858" s="58"/>
      <c r="I858" s="54"/>
      <c r="J858" s="55"/>
      <c r="K858" s="58"/>
      <c r="L858" s="58"/>
    </row>
  </sheetData>
  <conditionalFormatting sqref="A1:D858 F1:H858 I1:I56 J1:L858 I58:I858">
    <cfRule type="containsText" dxfId="11" priority="1" operator="containsText" text="—">
      <formula>NOT(ISERROR(SEARCH(("—"),(A1))))</formula>
    </cfRule>
  </conditionalFormatting>
  <conditionalFormatting sqref="A1:D858 F1:H858 I1:I56 J1:L858 I58:I858">
    <cfRule type="containsText" dxfId="11" priority="2" operator="containsText" text=" (">
      <formula>NOT(ISERROR(SEARCH((" ("),(A1))))</formula>
    </cfRule>
  </conditionalFormatting>
  <conditionalFormatting sqref="A1:D858 F1:H858 I1:I56 J1:L858 I58:I858">
    <cfRule type="containsBlanks" dxfId="12" priority="3">
      <formula>LEN(TRIM(A1))=0</formula>
    </cfRule>
  </conditionalFormatting>
  <conditionalFormatting sqref="A1:D858 F1:H858 I1:I56 J1:L858 I58:I858">
    <cfRule type="containsText" dxfId="11" priority="4" operator="containsText" text="  and ">
      <formula>NOT(ISERROR(SEARCH(("  and "),(A1))))</formula>
    </cfRule>
  </conditionalFormatting>
  <conditionalFormatting sqref="A1:D858 F1:H858 I1:I56 J1:L858 I58:I858">
    <cfRule type="containsText" dxfId="11" priority="5" operator="containsText" text=", and">
      <formula>NOT(ISERROR(SEARCH((", and"),(A1))))</formula>
    </cfRule>
  </conditionalFormatting>
  <conditionalFormatting sqref="A1:D858 F1:H858 I1:I56 J1:L858 I58:I858">
    <cfRule type="containsText" dxfId="11" priority="6" operator="containsText" text=",and">
      <formula>NOT(ISERROR(SEARCH((",and"),(A1))))</formula>
    </cfRule>
  </conditionalFormatting>
  <conditionalFormatting sqref="A1:D858 F1:H858 I1:I56 J1:L858 I58:I858">
    <cfRule type="cellIs" dxfId="13" priority="7" operator="equal">
      <formula>404</formula>
    </cfRule>
  </conditionalFormatting>
  <dataValidations>
    <dataValidation type="list" allowBlank="1" sqref="C2:C858">
      <formula1>#REF!</formula1>
    </dataValidation>
    <dataValidation type="list" allowBlank="1" sqref="D2:D858">
      <formula1>#REF!</formula1>
    </dataValidation>
    <dataValidation allowBlank="1" showDropDown="1" sqref="J2:J858"/>
    <dataValidation type="list" allowBlank="1" sqref="I2:I858">
      <formula1>#REF!</formula1>
    </dataValidation>
  </dataValidations>
  <hyperlinks>
    <hyperlink r:id="rId1" ref="F58"/>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8.88"/>
    <col customWidth="1" min="3" max="3" width="21.38"/>
    <col customWidth="1" min="4" max="4" width="46.5"/>
    <col customWidth="1" min="5" max="5" width="10.0"/>
  </cols>
  <sheetData>
    <row r="1" ht="22.5" customHeight="1">
      <c r="A1" s="8" t="s">
        <v>1</v>
      </c>
      <c r="B1" s="13" t="s">
        <v>7</v>
      </c>
      <c r="C1" s="17" t="s">
        <v>0</v>
      </c>
      <c r="D1" s="8" t="s">
        <v>14</v>
      </c>
      <c r="E1" s="25" t="s">
        <v>16</v>
      </c>
    </row>
    <row r="2" ht="22.5" customHeight="1">
      <c r="A2" s="27" t="s">
        <v>17</v>
      </c>
      <c r="B2" s="29" t="s">
        <v>19</v>
      </c>
      <c r="C2" s="33" t="str">
        <f t="shared" ref="C2:C145" si="1">B2 &amp; " #" &amp;A2</f>
        <v>Master Nmap #DEMO</v>
      </c>
      <c r="D2" s="41" t="s">
        <v>27</v>
      </c>
      <c r="E2" s="27">
        <f>COUNTIF('Scenses 🎬'!C:C,C2)</f>
        <v>1</v>
      </c>
    </row>
    <row r="3" ht="22.5" customHeight="1">
      <c r="A3" s="27">
        <v>0.0</v>
      </c>
      <c r="B3" s="29" t="s">
        <v>19</v>
      </c>
      <c r="C3" s="33" t="str">
        <f t="shared" si="1"/>
        <v>Master Nmap #0</v>
      </c>
      <c r="D3" s="41" t="s">
        <v>39</v>
      </c>
      <c r="E3" s="27">
        <f>COUNTIF('Scenses 🎬'!C:C,C3)</f>
        <v>0</v>
      </c>
    </row>
    <row r="4" ht="22.5" customHeight="1">
      <c r="A4" s="27">
        <v>1.0</v>
      </c>
      <c r="B4" s="29" t="s">
        <v>19</v>
      </c>
      <c r="C4" s="33" t="str">
        <f t="shared" si="1"/>
        <v>Master Nmap #1</v>
      </c>
      <c r="D4" s="41" t="s">
        <v>45</v>
      </c>
      <c r="E4" s="27">
        <f>COUNTIF('Scenses 🎬'!C:C,C4)</f>
        <v>0</v>
      </c>
    </row>
    <row r="5" ht="22.5" customHeight="1">
      <c r="A5" s="27">
        <v>2.0</v>
      </c>
      <c r="B5" s="29" t="s">
        <v>19</v>
      </c>
      <c r="C5" s="33" t="str">
        <f t="shared" si="1"/>
        <v>Master Nmap #2</v>
      </c>
      <c r="D5" s="41" t="s">
        <v>54</v>
      </c>
      <c r="E5" s="27">
        <f>COUNTIF('Scenses 🎬'!C:C,C5)</f>
        <v>0</v>
      </c>
    </row>
    <row r="6" ht="22.5" customHeight="1">
      <c r="A6" s="27">
        <v>3.0</v>
      </c>
      <c r="B6" s="29" t="s">
        <v>19</v>
      </c>
      <c r="C6" s="33" t="str">
        <f t="shared" si="1"/>
        <v>Master Nmap #3</v>
      </c>
      <c r="D6" s="41" t="s">
        <v>64</v>
      </c>
      <c r="E6" s="27">
        <f>COUNTIF('Scenses 🎬'!C:C,C6)</f>
        <v>0</v>
      </c>
    </row>
    <row r="7" ht="22.5" customHeight="1">
      <c r="A7" s="27">
        <v>4.0</v>
      </c>
      <c r="B7" s="29" t="s">
        <v>19</v>
      </c>
      <c r="C7" s="33" t="str">
        <f t="shared" si="1"/>
        <v>Master Nmap #4</v>
      </c>
      <c r="D7" s="41" t="s">
        <v>69</v>
      </c>
      <c r="E7" s="27">
        <f>COUNTIF('Scenses 🎬'!C:C,C7)</f>
        <v>0</v>
      </c>
    </row>
    <row r="8" ht="22.5" customHeight="1">
      <c r="A8" s="27">
        <v>5.0</v>
      </c>
      <c r="B8" s="29" t="s">
        <v>19</v>
      </c>
      <c r="C8" s="33" t="str">
        <f t="shared" si="1"/>
        <v>Master Nmap #5</v>
      </c>
      <c r="D8" s="41" t="s">
        <v>74</v>
      </c>
      <c r="E8" s="27">
        <f>COUNTIF('Scenses 🎬'!C:C,C8)</f>
        <v>0</v>
      </c>
    </row>
    <row r="9" ht="22.5" customHeight="1">
      <c r="A9" s="27">
        <v>6.0</v>
      </c>
      <c r="B9" s="29" t="s">
        <v>19</v>
      </c>
      <c r="C9" s="33" t="str">
        <f t="shared" si="1"/>
        <v>Master Nmap #6</v>
      </c>
      <c r="D9" s="41" t="s">
        <v>77</v>
      </c>
      <c r="E9" s="27">
        <f>COUNTIF('Scenses 🎬'!C:C,C9)</f>
        <v>0</v>
      </c>
    </row>
    <row r="10" ht="22.5" customHeight="1">
      <c r="A10" s="27">
        <v>7.0</v>
      </c>
      <c r="B10" s="29" t="s">
        <v>19</v>
      </c>
      <c r="C10" s="33" t="str">
        <f t="shared" si="1"/>
        <v>Master Nmap #7</v>
      </c>
      <c r="D10" s="41" t="s">
        <v>87</v>
      </c>
      <c r="E10" s="27">
        <f>COUNTIF('Scenses 🎬'!C:C,C10)</f>
        <v>0</v>
      </c>
    </row>
    <row r="11" ht="22.5" customHeight="1">
      <c r="A11" s="27">
        <v>8.0</v>
      </c>
      <c r="B11" s="29" t="s">
        <v>19</v>
      </c>
      <c r="C11" s="33" t="str">
        <f t="shared" si="1"/>
        <v>Master Nmap #8</v>
      </c>
      <c r="D11" s="41" t="s">
        <v>98</v>
      </c>
      <c r="E11" s="27">
        <f>COUNTIF('Scenses 🎬'!C:C,C11)</f>
        <v>0</v>
      </c>
    </row>
    <row r="12" ht="22.5" customHeight="1">
      <c r="A12" s="27">
        <v>9.0</v>
      </c>
      <c r="B12" s="29" t="s">
        <v>19</v>
      </c>
      <c r="C12" s="33" t="str">
        <f t="shared" si="1"/>
        <v>Master Nmap #9</v>
      </c>
      <c r="D12" s="41" t="s">
        <v>109</v>
      </c>
      <c r="E12" s="27">
        <f>COUNTIF('Scenses 🎬'!C:C,C12)</f>
        <v>0</v>
      </c>
    </row>
    <row r="13" ht="22.5" customHeight="1">
      <c r="A13" s="27">
        <v>10.0</v>
      </c>
      <c r="B13" s="29" t="s">
        <v>19</v>
      </c>
      <c r="C13" s="33" t="str">
        <f t="shared" si="1"/>
        <v>Master Nmap #10</v>
      </c>
      <c r="D13" s="41" t="s">
        <v>115</v>
      </c>
      <c r="E13" s="27">
        <f>COUNTIF('Scenses 🎬'!C:C,C13)</f>
        <v>0</v>
      </c>
    </row>
    <row r="14" ht="22.5" customHeight="1">
      <c r="A14" s="27">
        <v>11.0</v>
      </c>
      <c r="B14" s="29" t="s">
        <v>19</v>
      </c>
      <c r="C14" s="33" t="str">
        <f t="shared" si="1"/>
        <v>Master Nmap #11</v>
      </c>
      <c r="D14" s="41" t="s">
        <v>119</v>
      </c>
      <c r="E14" s="27">
        <f>COUNTIF('Scenses 🎬'!C:C,C14)</f>
        <v>0</v>
      </c>
    </row>
    <row r="15" ht="22.5" customHeight="1">
      <c r="A15" s="27">
        <v>12.0</v>
      </c>
      <c r="B15" s="29" t="s">
        <v>19</v>
      </c>
      <c r="C15" s="33" t="str">
        <f t="shared" si="1"/>
        <v>Master Nmap #12</v>
      </c>
      <c r="D15" s="41" t="s">
        <v>124</v>
      </c>
      <c r="E15" s="27">
        <f>COUNTIF('Scenses 🎬'!C:C,C15)</f>
        <v>0</v>
      </c>
    </row>
    <row r="16" ht="22.5" customHeight="1">
      <c r="A16" s="27">
        <v>13.0</v>
      </c>
      <c r="B16" s="29" t="s">
        <v>19</v>
      </c>
      <c r="C16" s="33" t="str">
        <f t="shared" si="1"/>
        <v>Master Nmap #13</v>
      </c>
      <c r="D16" s="41" t="s">
        <v>129</v>
      </c>
      <c r="E16" s="27">
        <f>COUNTIF('Scenses 🎬'!C:C,C16)</f>
        <v>0</v>
      </c>
    </row>
    <row r="17" ht="22.5" customHeight="1">
      <c r="A17" s="27">
        <v>14.0</v>
      </c>
      <c r="B17" s="29" t="s">
        <v>19</v>
      </c>
      <c r="C17" s="33" t="str">
        <f t="shared" si="1"/>
        <v>Master Nmap #14</v>
      </c>
      <c r="D17" s="41" t="s">
        <v>132</v>
      </c>
      <c r="E17" s="27">
        <f>COUNTIF('Scenses 🎬'!C:C,C17)</f>
        <v>0</v>
      </c>
    </row>
    <row r="18" ht="22.5" customHeight="1">
      <c r="A18" s="27">
        <v>15.0</v>
      </c>
      <c r="B18" s="29" t="s">
        <v>19</v>
      </c>
      <c r="C18" s="33" t="str">
        <f t="shared" si="1"/>
        <v>Master Nmap #15</v>
      </c>
      <c r="D18" s="41" t="s">
        <v>135</v>
      </c>
      <c r="E18" s="27">
        <f>COUNTIF('Scenses 🎬'!C:C,C18)</f>
        <v>0</v>
      </c>
    </row>
    <row r="19" ht="22.5" customHeight="1">
      <c r="A19" s="27">
        <v>16.0</v>
      </c>
      <c r="B19" s="29" t="s">
        <v>19</v>
      </c>
      <c r="C19" s="33" t="str">
        <f t="shared" si="1"/>
        <v>Master Nmap #16</v>
      </c>
      <c r="D19" s="41" t="s">
        <v>139</v>
      </c>
      <c r="E19" s="27">
        <f>COUNTIF('Scenses 🎬'!C:C,C19)</f>
        <v>0</v>
      </c>
    </row>
    <row r="20" ht="22.5" customHeight="1">
      <c r="A20" s="27">
        <v>17.0</v>
      </c>
      <c r="B20" s="29" t="s">
        <v>19</v>
      </c>
      <c r="C20" s="33" t="str">
        <f t="shared" si="1"/>
        <v>Master Nmap #17</v>
      </c>
      <c r="D20" s="41" t="s">
        <v>142</v>
      </c>
      <c r="E20" s="27">
        <f>COUNTIF('Scenses 🎬'!C:C,C20)</f>
        <v>0</v>
      </c>
    </row>
    <row r="21" ht="22.5" customHeight="1">
      <c r="A21" s="27">
        <v>18.0</v>
      </c>
      <c r="B21" s="29" t="s">
        <v>19</v>
      </c>
      <c r="C21" s="33" t="str">
        <f t="shared" si="1"/>
        <v>Master Nmap #18</v>
      </c>
      <c r="D21" s="41" t="s">
        <v>147</v>
      </c>
      <c r="E21" s="27">
        <f>COUNTIF('Scenses 🎬'!C:C,C21)</f>
        <v>0</v>
      </c>
    </row>
    <row r="22" ht="22.5" customHeight="1">
      <c r="A22" s="27">
        <v>19.0</v>
      </c>
      <c r="B22" s="29" t="s">
        <v>19</v>
      </c>
      <c r="C22" s="33" t="str">
        <f t="shared" si="1"/>
        <v>Master Nmap #19</v>
      </c>
      <c r="D22" s="41" t="s">
        <v>149</v>
      </c>
      <c r="E22" s="27">
        <f>COUNTIF('Scenses 🎬'!C:C,C22)</f>
        <v>0</v>
      </c>
    </row>
    <row r="23" ht="22.5" customHeight="1">
      <c r="A23" s="27">
        <v>20.0</v>
      </c>
      <c r="B23" s="29" t="s">
        <v>19</v>
      </c>
      <c r="C23" s="33" t="str">
        <f t="shared" si="1"/>
        <v>Master Nmap #20</v>
      </c>
      <c r="D23" s="41" t="s">
        <v>154</v>
      </c>
      <c r="E23" s="27">
        <f>COUNTIF('Scenses 🎬'!C:C,C23)</f>
        <v>0</v>
      </c>
    </row>
    <row r="24" ht="22.5" customHeight="1">
      <c r="A24" s="27">
        <v>21.0</v>
      </c>
      <c r="B24" s="29" t="s">
        <v>19</v>
      </c>
      <c r="C24" s="33" t="str">
        <f t="shared" si="1"/>
        <v>Master Nmap #21</v>
      </c>
      <c r="D24" s="41" t="s">
        <v>159</v>
      </c>
      <c r="E24" s="27">
        <f>COUNTIF('Scenses 🎬'!C:C,C24)</f>
        <v>0</v>
      </c>
    </row>
    <row r="25" ht="22.5" customHeight="1">
      <c r="A25" s="27">
        <v>22.0</v>
      </c>
      <c r="B25" s="29" t="s">
        <v>19</v>
      </c>
      <c r="C25" s="33" t="str">
        <f t="shared" si="1"/>
        <v>Master Nmap #22</v>
      </c>
      <c r="D25" s="41" t="s">
        <v>166</v>
      </c>
      <c r="E25" s="27">
        <f>COUNTIF('Scenses 🎬'!C:C,C25)</f>
        <v>0</v>
      </c>
    </row>
    <row r="26" ht="22.5" customHeight="1">
      <c r="A26" s="27">
        <v>23.0</v>
      </c>
      <c r="B26" s="29" t="s">
        <v>19</v>
      </c>
      <c r="C26" s="33" t="str">
        <f t="shared" si="1"/>
        <v>Master Nmap #23</v>
      </c>
      <c r="D26" s="41" t="s">
        <v>168</v>
      </c>
      <c r="E26" s="27">
        <f>COUNTIF('Scenses 🎬'!C:C,C26)</f>
        <v>0</v>
      </c>
    </row>
    <row r="27" ht="22.5" customHeight="1">
      <c r="A27" s="27">
        <v>24.0</v>
      </c>
      <c r="B27" s="29" t="s">
        <v>19</v>
      </c>
      <c r="C27" s="33" t="str">
        <f t="shared" si="1"/>
        <v>Master Nmap #24</v>
      </c>
      <c r="D27" s="41" t="s">
        <v>172</v>
      </c>
      <c r="E27" s="27">
        <f>COUNTIF('Scenses 🎬'!C:C,C27)</f>
        <v>0</v>
      </c>
    </row>
    <row r="28" ht="22.5" customHeight="1">
      <c r="A28" s="27">
        <v>25.0</v>
      </c>
      <c r="B28" s="29" t="s">
        <v>19</v>
      </c>
      <c r="C28" s="33" t="str">
        <f t="shared" si="1"/>
        <v>Master Nmap #25</v>
      </c>
      <c r="D28" s="41" t="s">
        <v>176</v>
      </c>
      <c r="E28" s="27">
        <f>COUNTIF('Scenses 🎬'!C:C,C28)</f>
        <v>0</v>
      </c>
    </row>
    <row r="29" ht="22.5" customHeight="1">
      <c r="A29" s="27">
        <v>26.0</v>
      </c>
      <c r="B29" s="29" t="s">
        <v>19</v>
      </c>
      <c r="C29" s="33" t="str">
        <f t="shared" si="1"/>
        <v>Master Nmap #26</v>
      </c>
      <c r="D29" s="41" t="s">
        <v>180</v>
      </c>
      <c r="E29" s="27">
        <f>COUNTIF('Scenses 🎬'!C:C,C29)</f>
        <v>0</v>
      </c>
    </row>
    <row r="30" ht="22.5" customHeight="1">
      <c r="A30" s="27">
        <v>27.0</v>
      </c>
      <c r="B30" s="29" t="s">
        <v>19</v>
      </c>
      <c r="C30" s="33" t="str">
        <f t="shared" si="1"/>
        <v>Master Nmap #27</v>
      </c>
      <c r="D30" s="41" t="s">
        <v>184</v>
      </c>
      <c r="E30" s="27">
        <f>COUNTIF('Scenses 🎬'!C:C,C30)</f>
        <v>0</v>
      </c>
    </row>
    <row r="31" ht="22.5" customHeight="1">
      <c r="A31" s="27">
        <v>28.0</v>
      </c>
      <c r="B31" s="29" t="s">
        <v>19</v>
      </c>
      <c r="C31" s="33" t="str">
        <f t="shared" si="1"/>
        <v>Master Nmap #28</v>
      </c>
      <c r="D31" s="41" t="s">
        <v>192</v>
      </c>
      <c r="E31" s="27">
        <f>COUNTIF('Scenses 🎬'!C:C,C31)</f>
        <v>0</v>
      </c>
    </row>
    <row r="32" ht="22.5" customHeight="1">
      <c r="A32" s="27">
        <v>29.0</v>
      </c>
      <c r="B32" s="29" t="s">
        <v>19</v>
      </c>
      <c r="C32" s="33" t="str">
        <f t="shared" si="1"/>
        <v>Master Nmap #29</v>
      </c>
      <c r="D32" s="90" t="s">
        <v>198</v>
      </c>
      <c r="E32" s="27">
        <f>COUNTIF('Scenses 🎬'!C:C,C32)</f>
        <v>0</v>
      </c>
    </row>
    <row r="33" ht="22.5" customHeight="1">
      <c r="A33" s="27">
        <v>30.0</v>
      </c>
      <c r="B33" s="29" t="s">
        <v>19</v>
      </c>
      <c r="C33" s="33" t="str">
        <f t="shared" si="1"/>
        <v>Master Nmap #30</v>
      </c>
      <c r="D33" s="91"/>
      <c r="E33" s="27">
        <f>COUNTIF('Scenses 🎬'!C:C,C33)</f>
        <v>0</v>
      </c>
    </row>
    <row r="34" ht="22.5" customHeight="1">
      <c r="A34" s="27">
        <v>31.0</v>
      </c>
      <c r="B34" s="29" t="s">
        <v>19</v>
      </c>
      <c r="C34" s="33" t="str">
        <f t="shared" si="1"/>
        <v>Master Nmap #31</v>
      </c>
      <c r="D34" s="91"/>
      <c r="E34" s="27">
        <f>COUNTIF('Scenses 🎬'!C:C,C34)</f>
        <v>0</v>
      </c>
    </row>
    <row r="35" ht="22.5" customHeight="1">
      <c r="A35" s="27">
        <v>32.0</v>
      </c>
      <c r="B35" s="29" t="s">
        <v>19</v>
      </c>
      <c r="C35" s="33" t="str">
        <f t="shared" si="1"/>
        <v>Master Nmap #32</v>
      </c>
      <c r="D35" s="91"/>
      <c r="E35" s="27">
        <f>COUNTIF('Scenses 🎬'!C:C,C35)</f>
        <v>0</v>
      </c>
    </row>
    <row r="36" ht="22.5" customHeight="1">
      <c r="A36" s="27">
        <v>33.0</v>
      </c>
      <c r="B36" s="29" t="s">
        <v>19</v>
      </c>
      <c r="C36" s="33" t="str">
        <f t="shared" si="1"/>
        <v>Master Nmap #33</v>
      </c>
      <c r="D36" s="91"/>
      <c r="E36" s="27">
        <f>COUNTIF('Scenses 🎬'!C:C,C36)</f>
        <v>0</v>
      </c>
    </row>
    <row r="37" ht="22.5" customHeight="1">
      <c r="A37" s="27">
        <v>34.0</v>
      </c>
      <c r="B37" s="29" t="s">
        <v>19</v>
      </c>
      <c r="C37" s="33" t="str">
        <f t="shared" si="1"/>
        <v>Master Nmap #34</v>
      </c>
      <c r="D37" s="91"/>
      <c r="E37" s="27">
        <f>COUNTIF('Scenses 🎬'!C:C,C37)</f>
        <v>0</v>
      </c>
    </row>
    <row r="38" ht="22.5" customHeight="1">
      <c r="A38" s="27">
        <v>35.0</v>
      </c>
      <c r="B38" s="29" t="s">
        <v>19</v>
      </c>
      <c r="C38" s="33" t="str">
        <f t="shared" si="1"/>
        <v>Master Nmap #35</v>
      </c>
      <c r="D38" s="91"/>
      <c r="E38" s="27">
        <f>COUNTIF('Scenses 🎬'!C:C,C38)</f>
        <v>0</v>
      </c>
    </row>
    <row r="39" ht="22.5" customHeight="1">
      <c r="A39" s="27">
        <v>36.0</v>
      </c>
      <c r="B39" s="29" t="s">
        <v>19</v>
      </c>
      <c r="C39" s="33" t="str">
        <f t="shared" si="1"/>
        <v>Master Nmap #36</v>
      </c>
      <c r="D39" s="91"/>
      <c r="E39" s="27">
        <f>COUNTIF('Scenses 🎬'!C:C,C39)</f>
        <v>0</v>
      </c>
    </row>
    <row r="40" ht="22.5" customHeight="1">
      <c r="A40" s="27">
        <v>37.0</v>
      </c>
      <c r="B40" s="29" t="s">
        <v>19</v>
      </c>
      <c r="C40" s="33" t="str">
        <f t="shared" si="1"/>
        <v>Master Nmap #37</v>
      </c>
      <c r="D40" s="91"/>
      <c r="E40" s="27">
        <f>COUNTIF('Scenses 🎬'!C:C,C40)</f>
        <v>0</v>
      </c>
    </row>
    <row r="41" ht="22.5" customHeight="1">
      <c r="A41" s="27">
        <v>38.0</v>
      </c>
      <c r="B41" s="29" t="s">
        <v>19</v>
      </c>
      <c r="C41" s="33" t="str">
        <f t="shared" si="1"/>
        <v>Master Nmap #38</v>
      </c>
      <c r="D41" s="91"/>
      <c r="E41" s="27">
        <f>COUNTIF('Scenses 🎬'!C:C,C41)</f>
        <v>0</v>
      </c>
    </row>
    <row r="42" ht="22.5" customHeight="1">
      <c r="A42" s="27">
        <v>39.0</v>
      </c>
      <c r="B42" s="29" t="s">
        <v>19</v>
      </c>
      <c r="C42" s="33" t="str">
        <f t="shared" si="1"/>
        <v>Master Nmap #39</v>
      </c>
      <c r="D42" s="91"/>
      <c r="E42" s="27">
        <f>COUNTIF('Scenses 🎬'!C:C,C42)</f>
        <v>0</v>
      </c>
    </row>
    <row r="43" ht="22.5" customHeight="1">
      <c r="A43" s="27">
        <v>40.0</v>
      </c>
      <c r="B43" s="29" t="s">
        <v>19</v>
      </c>
      <c r="C43" s="33" t="str">
        <f t="shared" si="1"/>
        <v>Master Nmap #40</v>
      </c>
      <c r="D43" s="91"/>
      <c r="E43" s="27">
        <f>COUNTIF('Scenses 🎬'!C:C,C43)</f>
        <v>0</v>
      </c>
    </row>
    <row r="44" ht="22.5" customHeight="1">
      <c r="A44" s="27">
        <v>1.0</v>
      </c>
      <c r="B44" s="86" t="s">
        <v>231</v>
      </c>
      <c r="C44" s="33" t="str">
        <f t="shared" si="1"/>
        <v>Logic in Motion #1</v>
      </c>
      <c r="D44" s="41" t="s">
        <v>233</v>
      </c>
      <c r="E44" s="27">
        <f>COUNTIF('Scenses 🎬'!C:C,C44)</f>
        <v>0</v>
      </c>
    </row>
    <row r="45" ht="22.5" customHeight="1">
      <c r="A45" s="27">
        <v>2.0</v>
      </c>
      <c r="B45" s="86" t="s">
        <v>231</v>
      </c>
      <c r="C45" s="33" t="str">
        <f t="shared" si="1"/>
        <v>Logic in Motion #2</v>
      </c>
      <c r="D45" s="41" t="s">
        <v>239</v>
      </c>
      <c r="E45" s="27">
        <f>COUNTIF('Scenses 🎬'!C:C,C45)</f>
        <v>0</v>
      </c>
    </row>
    <row r="46" ht="22.5" customHeight="1">
      <c r="A46" s="27">
        <v>3.0</v>
      </c>
      <c r="B46" s="86" t="s">
        <v>231</v>
      </c>
      <c r="C46" s="33" t="str">
        <f t="shared" si="1"/>
        <v>Logic in Motion #3</v>
      </c>
      <c r="D46" s="90" t="s">
        <v>245</v>
      </c>
      <c r="E46" s="27">
        <f>COUNTIF('Scenses 🎬'!C:C,C46)</f>
        <v>0</v>
      </c>
    </row>
    <row r="47" ht="22.5" customHeight="1">
      <c r="A47" s="27">
        <v>4.0</v>
      </c>
      <c r="B47" s="86" t="s">
        <v>231</v>
      </c>
      <c r="C47" s="33" t="str">
        <f t="shared" si="1"/>
        <v>Logic in Motion #4</v>
      </c>
      <c r="D47" s="90" t="s">
        <v>250</v>
      </c>
      <c r="E47" s="27">
        <f>COUNTIF('Scenses 🎬'!C:C,C47)</f>
        <v>0</v>
      </c>
    </row>
    <row r="48" ht="22.5" customHeight="1">
      <c r="A48" s="27">
        <v>5.0</v>
      </c>
      <c r="B48" s="86" t="s">
        <v>231</v>
      </c>
      <c r="C48" s="33" t="str">
        <f t="shared" si="1"/>
        <v>Logic in Motion #5</v>
      </c>
      <c r="D48" s="41" t="s">
        <v>254</v>
      </c>
      <c r="E48" s="27">
        <f>COUNTIF('Scenses 🎬'!C:C,C48)</f>
        <v>0</v>
      </c>
    </row>
    <row r="49" ht="22.5" customHeight="1">
      <c r="A49" s="27">
        <v>6.0</v>
      </c>
      <c r="B49" s="86" t="s">
        <v>231</v>
      </c>
      <c r="C49" s="33" t="str">
        <f t="shared" si="1"/>
        <v>Logic in Motion #6</v>
      </c>
      <c r="D49" s="41" t="s">
        <v>256</v>
      </c>
      <c r="E49" s="27">
        <f>COUNTIF('Scenses 🎬'!C:C,C49)</f>
        <v>0</v>
      </c>
    </row>
    <row r="50" ht="22.5" customHeight="1">
      <c r="A50" s="27">
        <v>7.0</v>
      </c>
      <c r="B50" s="86" t="s">
        <v>231</v>
      </c>
      <c r="C50" s="33" t="str">
        <f t="shared" si="1"/>
        <v>Logic in Motion #7</v>
      </c>
      <c r="D50" s="41" t="s">
        <v>262</v>
      </c>
      <c r="E50" s="27">
        <f>COUNTIF('Scenses 🎬'!C:C,C50)</f>
        <v>0</v>
      </c>
    </row>
    <row r="51" ht="22.5" customHeight="1">
      <c r="A51" s="27">
        <v>8.0</v>
      </c>
      <c r="B51" s="86" t="s">
        <v>231</v>
      </c>
      <c r="C51" s="33" t="str">
        <f t="shared" si="1"/>
        <v>Logic in Motion #8</v>
      </c>
      <c r="D51" s="41" t="s">
        <v>265</v>
      </c>
      <c r="E51" s="27">
        <f>COUNTIF('Scenses 🎬'!C:C,C51)</f>
        <v>0</v>
      </c>
    </row>
    <row r="52" ht="22.5" customHeight="1">
      <c r="A52" s="27">
        <v>9.0</v>
      </c>
      <c r="B52" s="86" t="s">
        <v>231</v>
      </c>
      <c r="C52" s="33" t="str">
        <f t="shared" si="1"/>
        <v>Logic in Motion #9</v>
      </c>
      <c r="D52" s="41" t="s">
        <v>268</v>
      </c>
      <c r="E52" s="27">
        <f>COUNTIF('Scenses 🎬'!C:C,C52)</f>
        <v>0</v>
      </c>
    </row>
    <row r="53" ht="22.5" customHeight="1">
      <c r="A53" s="27">
        <v>10.0</v>
      </c>
      <c r="B53" s="86" t="s">
        <v>231</v>
      </c>
      <c r="C53" s="33" t="str">
        <f t="shared" si="1"/>
        <v>Logic in Motion #10</v>
      </c>
      <c r="D53" s="41" t="s">
        <v>273</v>
      </c>
      <c r="E53" s="27">
        <f>COUNTIF('Scenses 🎬'!C:C,C53)</f>
        <v>0</v>
      </c>
    </row>
    <row r="54" ht="22.5" customHeight="1">
      <c r="A54" s="27">
        <v>11.0</v>
      </c>
      <c r="B54" s="86" t="s">
        <v>231</v>
      </c>
      <c r="C54" s="33" t="str">
        <f t="shared" si="1"/>
        <v>Logic in Motion #11</v>
      </c>
      <c r="D54" s="90" t="s">
        <v>278</v>
      </c>
      <c r="E54" s="27">
        <f>COUNTIF('Scenses 🎬'!C:C,C54)</f>
        <v>0</v>
      </c>
    </row>
    <row r="55" ht="22.5" customHeight="1">
      <c r="A55" s="27">
        <v>12.0</v>
      </c>
      <c r="B55" s="86" t="s">
        <v>231</v>
      </c>
      <c r="C55" s="33" t="str">
        <f t="shared" si="1"/>
        <v>Logic in Motion #12</v>
      </c>
      <c r="D55" s="41" t="s">
        <v>285</v>
      </c>
      <c r="E55" s="27">
        <f>COUNTIF('Scenses 🎬'!C:C,C55)</f>
        <v>0</v>
      </c>
    </row>
    <row r="56" ht="22.5" customHeight="1">
      <c r="A56" s="27">
        <v>13.0</v>
      </c>
      <c r="B56" s="86" t="s">
        <v>231</v>
      </c>
      <c r="C56" s="33" t="str">
        <f t="shared" si="1"/>
        <v>Logic in Motion #13</v>
      </c>
      <c r="D56" s="41" t="s">
        <v>295</v>
      </c>
      <c r="E56" s="27">
        <f>COUNTIF('Scenses 🎬'!C:C,C56)</f>
        <v>0</v>
      </c>
    </row>
    <row r="57" ht="22.5" customHeight="1">
      <c r="A57" s="27">
        <v>14.0</v>
      </c>
      <c r="B57" s="86" t="s">
        <v>231</v>
      </c>
      <c r="C57" s="33" t="str">
        <f t="shared" si="1"/>
        <v>Logic in Motion #14</v>
      </c>
      <c r="D57" s="41" t="s">
        <v>303</v>
      </c>
      <c r="E57" s="27">
        <f>COUNTIF('Scenses 🎬'!C:C,C57)</f>
        <v>0</v>
      </c>
    </row>
    <row r="58" ht="22.5" customHeight="1">
      <c r="A58" s="27">
        <v>15.0</v>
      </c>
      <c r="B58" s="86" t="s">
        <v>231</v>
      </c>
      <c r="C58" s="33" t="str">
        <f t="shared" si="1"/>
        <v>Logic in Motion #15</v>
      </c>
      <c r="D58" s="41" t="s">
        <v>309</v>
      </c>
      <c r="E58" s="27">
        <f>COUNTIF('Scenses 🎬'!C:C,C58)</f>
        <v>0</v>
      </c>
    </row>
    <row r="59" ht="22.5" customHeight="1">
      <c r="A59" s="27">
        <v>16.0</v>
      </c>
      <c r="B59" s="86" t="s">
        <v>231</v>
      </c>
      <c r="C59" s="33" t="str">
        <f t="shared" si="1"/>
        <v>Logic in Motion #16</v>
      </c>
      <c r="D59" s="41" t="s">
        <v>315</v>
      </c>
      <c r="E59" s="27">
        <f>COUNTIF('Scenses 🎬'!C:C,C59)</f>
        <v>0</v>
      </c>
    </row>
    <row r="60" ht="22.5" customHeight="1">
      <c r="A60" s="27">
        <v>17.0</v>
      </c>
      <c r="B60" s="86" t="s">
        <v>231</v>
      </c>
      <c r="C60" s="33" t="str">
        <f t="shared" si="1"/>
        <v>Logic in Motion #17</v>
      </c>
      <c r="D60" s="91"/>
      <c r="E60" s="27">
        <f>COUNTIF('Scenses 🎬'!C:C,C60)</f>
        <v>0</v>
      </c>
    </row>
    <row r="61" ht="22.5" customHeight="1">
      <c r="A61" s="27">
        <v>18.0</v>
      </c>
      <c r="B61" s="86" t="s">
        <v>231</v>
      </c>
      <c r="C61" s="33" t="str">
        <f t="shared" si="1"/>
        <v>Logic in Motion #18</v>
      </c>
      <c r="D61" s="91"/>
      <c r="E61" s="27">
        <f>COUNTIF('Scenses 🎬'!C:C,C61)</f>
        <v>0</v>
      </c>
    </row>
    <row r="62" ht="22.5" customHeight="1">
      <c r="A62" s="27">
        <v>19.0</v>
      </c>
      <c r="B62" s="86" t="s">
        <v>231</v>
      </c>
      <c r="C62" s="33" t="str">
        <f t="shared" si="1"/>
        <v>Logic in Motion #19</v>
      </c>
      <c r="D62" s="91"/>
      <c r="E62" s="27">
        <f>COUNTIF('Scenses 🎬'!C:C,C62)</f>
        <v>0</v>
      </c>
    </row>
    <row r="63" ht="22.5" customHeight="1">
      <c r="A63" s="27">
        <v>20.0</v>
      </c>
      <c r="B63" s="86" t="s">
        <v>231</v>
      </c>
      <c r="C63" s="33" t="str">
        <f t="shared" si="1"/>
        <v>Logic in Motion #20</v>
      </c>
      <c r="D63" s="91"/>
      <c r="E63" s="27">
        <f>COUNTIF('Scenses 🎬'!C:C,C63)</f>
        <v>0</v>
      </c>
    </row>
    <row r="64" ht="22.5" customHeight="1">
      <c r="A64" s="27">
        <v>21.0</v>
      </c>
      <c r="B64" s="86" t="s">
        <v>231</v>
      </c>
      <c r="C64" s="33" t="str">
        <f t="shared" si="1"/>
        <v>Logic in Motion #21</v>
      </c>
      <c r="D64" s="91"/>
      <c r="E64" s="27">
        <f>COUNTIF('Scenses 🎬'!C:C,C64)</f>
        <v>0</v>
      </c>
    </row>
    <row r="65" ht="22.5" customHeight="1">
      <c r="A65" s="27">
        <v>22.0</v>
      </c>
      <c r="B65" s="86" t="s">
        <v>231</v>
      </c>
      <c r="C65" s="33" t="str">
        <f t="shared" si="1"/>
        <v>Logic in Motion #22</v>
      </c>
      <c r="D65" s="91"/>
      <c r="E65" s="27">
        <f>COUNTIF('Scenses 🎬'!C:C,C65)</f>
        <v>0</v>
      </c>
    </row>
    <row r="66" ht="22.5" customHeight="1">
      <c r="A66" s="27">
        <v>23.0</v>
      </c>
      <c r="B66" s="86" t="s">
        <v>231</v>
      </c>
      <c r="C66" s="33" t="str">
        <f t="shared" si="1"/>
        <v>Logic in Motion #23</v>
      </c>
      <c r="D66" s="91"/>
      <c r="E66" s="27">
        <f>COUNTIF('Scenses 🎬'!C:C,C66)</f>
        <v>0</v>
      </c>
    </row>
    <row r="67" ht="22.5" customHeight="1">
      <c r="A67" s="27">
        <v>24.0</v>
      </c>
      <c r="B67" s="86" t="s">
        <v>231</v>
      </c>
      <c r="C67" s="33" t="str">
        <f t="shared" si="1"/>
        <v>Logic in Motion #24</v>
      </c>
      <c r="D67" s="91"/>
      <c r="E67" s="27">
        <f>COUNTIF('Scenses 🎬'!C:C,C67)</f>
        <v>0</v>
      </c>
    </row>
    <row r="68" ht="22.5" customHeight="1">
      <c r="A68" s="27">
        <v>25.0</v>
      </c>
      <c r="B68" s="86" t="s">
        <v>231</v>
      </c>
      <c r="C68" s="33" t="str">
        <f t="shared" si="1"/>
        <v>Logic in Motion #25</v>
      </c>
      <c r="D68" s="91"/>
      <c r="E68" s="27">
        <f>COUNTIF('Scenses 🎬'!C:C,C68)</f>
        <v>0</v>
      </c>
    </row>
    <row r="69" ht="22.5" customHeight="1">
      <c r="A69" s="27">
        <v>26.0</v>
      </c>
      <c r="B69" s="86" t="s">
        <v>231</v>
      </c>
      <c r="C69" s="33" t="str">
        <f t="shared" si="1"/>
        <v>Logic in Motion #26</v>
      </c>
      <c r="D69" s="91"/>
      <c r="E69" s="27">
        <f>COUNTIF('Scenses 🎬'!C:C,C69)</f>
        <v>0</v>
      </c>
    </row>
    <row r="70" ht="22.5" customHeight="1">
      <c r="A70" s="27">
        <v>27.0</v>
      </c>
      <c r="B70" s="86" t="s">
        <v>231</v>
      </c>
      <c r="C70" s="33" t="str">
        <f t="shared" si="1"/>
        <v>Logic in Motion #27</v>
      </c>
      <c r="D70" s="91"/>
      <c r="E70" s="27">
        <f>COUNTIF('Scenses 🎬'!C:C,C70)</f>
        <v>0</v>
      </c>
    </row>
    <row r="71" ht="22.5" customHeight="1">
      <c r="A71" s="27">
        <v>28.0</v>
      </c>
      <c r="B71" s="86" t="s">
        <v>231</v>
      </c>
      <c r="C71" s="33" t="str">
        <f t="shared" si="1"/>
        <v>Logic in Motion #28</v>
      </c>
      <c r="D71" s="91"/>
      <c r="E71" s="27">
        <f>COUNTIF('Scenses 🎬'!C:C,C71)</f>
        <v>0</v>
      </c>
    </row>
    <row r="72" ht="22.5" customHeight="1">
      <c r="A72" s="27">
        <v>29.0</v>
      </c>
      <c r="B72" s="86" t="s">
        <v>231</v>
      </c>
      <c r="C72" s="33" t="str">
        <f t="shared" si="1"/>
        <v>Logic in Motion #29</v>
      </c>
      <c r="D72" s="91"/>
      <c r="E72" s="27">
        <f>COUNTIF('Scenses 🎬'!C:C,C72)</f>
        <v>0</v>
      </c>
    </row>
    <row r="73" ht="22.5" customHeight="1">
      <c r="A73" s="27">
        <v>30.0</v>
      </c>
      <c r="B73" s="86" t="s">
        <v>231</v>
      </c>
      <c r="C73" s="33" t="str">
        <f t="shared" si="1"/>
        <v>Logic in Motion #30</v>
      </c>
      <c r="D73" s="91"/>
      <c r="E73" s="27">
        <f>COUNTIF('Scenses 🎬'!C:C,C73)</f>
        <v>0</v>
      </c>
    </row>
    <row r="74" ht="22.5" customHeight="1">
      <c r="A74" s="27">
        <v>31.0</v>
      </c>
      <c r="B74" s="86" t="s">
        <v>231</v>
      </c>
      <c r="C74" s="33" t="str">
        <f t="shared" si="1"/>
        <v>Logic in Motion #31</v>
      </c>
      <c r="D74" s="91"/>
      <c r="E74" s="27">
        <f>COUNTIF('Scenses 🎬'!C:C,C74)</f>
        <v>0</v>
      </c>
    </row>
    <row r="75" ht="22.5" customHeight="1">
      <c r="A75" s="27">
        <v>32.0</v>
      </c>
      <c r="B75" s="86" t="s">
        <v>231</v>
      </c>
      <c r="C75" s="33" t="str">
        <f t="shared" si="1"/>
        <v>Logic in Motion #32</v>
      </c>
      <c r="D75" s="91"/>
      <c r="E75" s="27">
        <f>COUNTIF('Scenses 🎬'!C:C,C75)</f>
        <v>0</v>
      </c>
    </row>
    <row r="76" ht="22.5" customHeight="1">
      <c r="A76" s="27">
        <v>33.0</v>
      </c>
      <c r="B76" s="86" t="s">
        <v>231</v>
      </c>
      <c r="C76" s="33" t="str">
        <f t="shared" si="1"/>
        <v>Logic in Motion #33</v>
      </c>
      <c r="D76" s="91"/>
      <c r="E76" s="27">
        <f>COUNTIF('Scenses 🎬'!C:C,C76)</f>
        <v>0</v>
      </c>
    </row>
    <row r="77" ht="22.5" customHeight="1">
      <c r="A77" s="27">
        <v>34.0</v>
      </c>
      <c r="B77" s="86" t="s">
        <v>231</v>
      </c>
      <c r="C77" s="33" t="str">
        <f t="shared" si="1"/>
        <v>Logic in Motion #34</v>
      </c>
      <c r="D77" s="91"/>
      <c r="E77" s="27">
        <f>COUNTIF('Scenses 🎬'!C:C,C77)</f>
        <v>0</v>
      </c>
    </row>
    <row r="78" ht="22.5" customHeight="1">
      <c r="A78" s="27">
        <v>35.0</v>
      </c>
      <c r="B78" s="86" t="s">
        <v>231</v>
      </c>
      <c r="C78" s="33" t="str">
        <f t="shared" si="1"/>
        <v>Logic in Motion #35</v>
      </c>
      <c r="D78" s="91"/>
      <c r="E78" s="27">
        <f>COUNTIF('Scenses 🎬'!C:C,C78)</f>
        <v>0</v>
      </c>
    </row>
    <row r="79" ht="22.5" customHeight="1">
      <c r="A79" s="27">
        <v>36.0</v>
      </c>
      <c r="B79" s="86" t="s">
        <v>231</v>
      </c>
      <c r="C79" s="33" t="str">
        <f t="shared" si="1"/>
        <v>Logic in Motion #36</v>
      </c>
      <c r="D79" s="91"/>
      <c r="E79" s="27">
        <f>COUNTIF('Scenses 🎬'!C:C,C79)</f>
        <v>0</v>
      </c>
    </row>
    <row r="80" ht="22.5" customHeight="1">
      <c r="A80" s="27">
        <v>37.0</v>
      </c>
      <c r="B80" s="86" t="s">
        <v>231</v>
      </c>
      <c r="C80" s="33" t="str">
        <f t="shared" si="1"/>
        <v>Logic in Motion #37</v>
      </c>
      <c r="D80" s="91"/>
      <c r="E80" s="27">
        <f>COUNTIF('Scenses 🎬'!C:C,C80)</f>
        <v>0</v>
      </c>
    </row>
    <row r="81" ht="22.5" customHeight="1">
      <c r="A81" s="27">
        <v>38.0</v>
      </c>
      <c r="B81" s="86" t="s">
        <v>231</v>
      </c>
      <c r="C81" s="33" t="str">
        <f t="shared" si="1"/>
        <v>Logic in Motion #38</v>
      </c>
      <c r="D81" s="91"/>
      <c r="E81" s="27">
        <f>COUNTIF('Scenses 🎬'!C:C,C81)</f>
        <v>0</v>
      </c>
    </row>
    <row r="82" ht="22.5" customHeight="1">
      <c r="A82" s="27">
        <v>39.0</v>
      </c>
      <c r="B82" s="86" t="s">
        <v>231</v>
      </c>
      <c r="C82" s="33" t="str">
        <f t="shared" si="1"/>
        <v>Logic in Motion #39</v>
      </c>
      <c r="D82" s="91"/>
      <c r="E82" s="27">
        <f>COUNTIF('Scenses 🎬'!C:C,C82)</f>
        <v>0</v>
      </c>
    </row>
    <row r="83" ht="22.5" customHeight="1">
      <c r="A83" s="27">
        <v>40.0</v>
      </c>
      <c r="B83" s="86" t="s">
        <v>231</v>
      </c>
      <c r="C83" s="33" t="str">
        <f t="shared" si="1"/>
        <v>Logic in Motion #40</v>
      </c>
      <c r="D83" s="91"/>
      <c r="E83" s="27">
        <f>COUNTIF('Scenses 🎬'!C:C,C83)</f>
        <v>0</v>
      </c>
    </row>
    <row r="84" ht="22.5" customHeight="1">
      <c r="A84" s="27">
        <v>41.0</v>
      </c>
      <c r="B84" s="86" t="s">
        <v>231</v>
      </c>
      <c r="C84" s="33" t="str">
        <f t="shared" si="1"/>
        <v>Logic in Motion #41</v>
      </c>
      <c r="D84" s="91"/>
      <c r="E84" s="27">
        <f>COUNTIF('Scenses 🎬'!C:C,C84)</f>
        <v>0</v>
      </c>
    </row>
    <row r="85" ht="22.5" customHeight="1">
      <c r="A85" s="27">
        <v>42.0</v>
      </c>
      <c r="B85" s="86" t="s">
        <v>231</v>
      </c>
      <c r="C85" s="33" t="str">
        <f t="shared" si="1"/>
        <v>Logic in Motion #42</v>
      </c>
      <c r="D85" s="91"/>
      <c r="E85" s="27">
        <f>COUNTIF('Scenses 🎬'!C:C,C85)</f>
        <v>0</v>
      </c>
    </row>
    <row r="86" ht="22.5" customHeight="1">
      <c r="A86" s="27">
        <v>43.0</v>
      </c>
      <c r="B86" s="86" t="s">
        <v>231</v>
      </c>
      <c r="C86" s="33" t="str">
        <f t="shared" si="1"/>
        <v>Logic in Motion #43</v>
      </c>
      <c r="D86" s="91"/>
      <c r="E86" s="27">
        <f>COUNTIF('Scenses 🎬'!C:C,C86)</f>
        <v>0</v>
      </c>
    </row>
    <row r="87" ht="22.5" customHeight="1">
      <c r="A87" s="27">
        <v>44.0</v>
      </c>
      <c r="B87" s="86" t="s">
        <v>231</v>
      </c>
      <c r="C87" s="33" t="str">
        <f t="shared" si="1"/>
        <v>Logic in Motion #44</v>
      </c>
      <c r="D87" s="91"/>
      <c r="E87" s="27">
        <f>COUNTIF('Scenses 🎬'!C:C,C87)</f>
        <v>0</v>
      </c>
    </row>
    <row r="88" ht="22.5" customHeight="1">
      <c r="A88" s="27">
        <v>45.0</v>
      </c>
      <c r="B88" s="86" t="s">
        <v>231</v>
      </c>
      <c r="C88" s="33" t="str">
        <f t="shared" si="1"/>
        <v>Logic in Motion #45</v>
      </c>
      <c r="D88" s="91"/>
      <c r="E88" s="27">
        <f>COUNTIF('Scenses 🎬'!C:C,C88)</f>
        <v>0</v>
      </c>
    </row>
    <row r="89" ht="22.5" customHeight="1">
      <c r="A89" s="27">
        <v>46.0</v>
      </c>
      <c r="B89" s="86" t="s">
        <v>231</v>
      </c>
      <c r="C89" s="33" t="str">
        <f t="shared" si="1"/>
        <v>Logic in Motion #46</v>
      </c>
      <c r="D89" s="91"/>
      <c r="E89" s="27">
        <f>COUNTIF('Scenses 🎬'!C:C,C89)</f>
        <v>0</v>
      </c>
    </row>
    <row r="90" ht="22.5" customHeight="1">
      <c r="A90" s="27">
        <v>47.0</v>
      </c>
      <c r="B90" s="86" t="s">
        <v>231</v>
      </c>
      <c r="C90" s="33" t="str">
        <f t="shared" si="1"/>
        <v>Logic in Motion #47</v>
      </c>
      <c r="D90" s="91"/>
      <c r="E90" s="27">
        <f>COUNTIF('Scenses 🎬'!C:C,C90)</f>
        <v>0</v>
      </c>
    </row>
    <row r="91" ht="22.5" customHeight="1">
      <c r="A91" s="27">
        <v>48.0</v>
      </c>
      <c r="B91" s="86" t="s">
        <v>231</v>
      </c>
      <c r="C91" s="33" t="str">
        <f t="shared" si="1"/>
        <v>Logic in Motion #48</v>
      </c>
      <c r="D91" s="91"/>
      <c r="E91" s="27">
        <f>COUNTIF('Scenses 🎬'!C:C,C91)</f>
        <v>0</v>
      </c>
    </row>
    <row r="92" ht="22.5" customHeight="1">
      <c r="A92" s="27">
        <v>49.0</v>
      </c>
      <c r="B92" s="86" t="s">
        <v>231</v>
      </c>
      <c r="C92" s="33" t="str">
        <f t="shared" si="1"/>
        <v>Logic in Motion #49</v>
      </c>
      <c r="D92" s="91"/>
      <c r="E92" s="27">
        <f>COUNTIF('Scenses 🎬'!C:C,C92)</f>
        <v>0</v>
      </c>
    </row>
    <row r="93" ht="22.5" customHeight="1">
      <c r="A93" s="27">
        <v>50.0</v>
      </c>
      <c r="B93" s="86" t="s">
        <v>231</v>
      </c>
      <c r="C93" s="33" t="str">
        <f t="shared" si="1"/>
        <v>Logic in Motion #50</v>
      </c>
      <c r="D93" s="91"/>
      <c r="E93" s="27">
        <f>COUNTIF('Scenses 🎬'!C:C,C93)</f>
        <v>0</v>
      </c>
    </row>
    <row r="94" ht="22.5" customHeight="1">
      <c r="A94" s="27">
        <v>51.0</v>
      </c>
      <c r="B94" s="86" t="s">
        <v>231</v>
      </c>
      <c r="C94" s="33" t="str">
        <f t="shared" si="1"/>
        <v>Logic in Motion #51</v>
      </c>
      <c r="D94" s="91"/>
      <c r="E94" s="27">
        <f>COUNTIF('Scenses 🎬'!C:C,C94)</f>
        <v>0</v>
      </c>
    </row>
    <row r="95" ht="22.5" customHeight="1">
      <c r="A95" s="27">
        <v>52.0</v>
      </c>
      <c r="B95" s="86" t="s">
        <v>231</v>
      </c>
      <c r="C95" s="33" t="str">
        <f t="shared" si="1"/>
        <v>Logic in Motion #52</v>
      </c>
      <c r="D95" s="91"/>
      <c r="E95" s="27">
        <f>COUNTIF('Scenses 🎬'!C:C,C95)</f>
        <v>0</v>
      </c>
    </row>
    <row r="96" ht="22.5" customHeight="1">
      <c r="A96" s="27">
        <v>53.0</v>
      </c>
      <c r="B96" s="86" t="s">
        <v>231</v>
      </c>
      <c r="C96" s="33" t="str">
        <f t="shared" si="1"/>
        <v>Logic in Motion #53</v>
      </c>
      <c r="D96" s="91"/>
      <c r="E96" s="27">
        <f>COUNTIF('Scenses 🎬'!C:C,C96)</f>
        <v>0</v>
      </c>
    </row>
    <row r="97" ht="22.5" customHeight="1">
      <c r="A97" s="27">
        <v>54.0</v>
      </c>
      <c r="B97" s="86" t="s">
        <v>231</v>
      </c>
      <c r="C97" s="33" t="str">
        <f t="shared" si="1"/>
        <v>Logic in Motion #54</v>
      </c>
      <c r="D97" s="91"/>
      <c r="E97" s="27">
        <f>COUNTIF('Scenses 🎬'!C:C,C97)</f>
        <v>0</v>
      </c>
    </row>
    <row r="98" ht="22.5" customHeight="1">
      <c r="A98" s="27">
        <v>55.0</v>
      </c>
      <c r="B98" s="86" t="s">
        <v>231</v>
      </c>
      <c r="C98" s="33" t="str">
        <f t="shared" si="1"/>
        <v>Logic in Motion #55</v>
      </c>
      <c r="D98" s="91"/>
      <c r="E98" s="27">
        <f>COUNTIF('Scenses 🎬'!C:C,C98)</f>
        <v>0</v>
      </c>
    </row>
    <row r="99" ht="22.5" customHeight="1">
      <c r="A99" s="27">
        <v>56.0</v>
      </c>
      <c r="B99" s="86" t="s">
        <v>231</v>
      </c>
      <c r="C99" s="33" t="str">
        <f t="shared" si="1"/>
        <v>Logic in Motion #56</v>
      </c>
      <c r="D99" s="91"/>
      <c r="E99" s="27">
        <f>COUNTIF('Scenses 🎬'!C:C,C99)</f>
        <v>0</v>
      </c>
    </row>
    <row r="100" ht="22.5" customHeight="1">
      <c r="A100" s="27">
        <v>57.0</v>
      </c>
      <c r="B100" s="86" t="s">
        <v>231</v>
      </c>
      <c r="C100" s="33" t="str">
        <f t="shared" si="1"/>
        <v>Logic in Motion #57</v>
      </c>
      <c r="D100" s="91"/>
      <c r="E100" s="27">
        <f>COUNTIF('Scenses 🎬'!C:C,C100)</f>
        <v>0</v>
      </c>
    </row>
    <row r="101" ht="22.5" customHeight="1">
      <c r="A101" s="27">
        <v>58.0</v>
      </c>
      <c r="B101" s="86" t="s">
        <v>231</v>
      </c>
      <c r="C101" s="33" t="str">
        <f t="shared" si="1"/>
        <v>Logic in Motion #58</v>
      </c>
      <c r="D101" s="91"/>
      <c r="E101" s="27">
        <f>COUNTIF('Scenses 🎬'!C:C,C101)</f>
        <v>0</v>
      </c>
    </row>
    <row r="102" ht="22.5" customHeight="1">
      <c r="A102" s="27">
        <v>59.0</v>
      </c>
      <c r="B102" s="86" t="s">
        <v>231</v>
      </c>
      <c r="C102" s="33" t="str">
        <f t="shared" si="1"/>
        <v>Logic in Motion #59</v>
      </c>
      <c r="D102" s="91"/>
      <c r="E102" s="27">
        <f>COUNTIF('Scenses 🎬'!C:C,C102)</f>
        <v>0</v>
      </c>
    </row>
    <row r="103" ht="22.5" customHeight="1">
      <c r="A103" s="27">
        <v>60.0</v>
      </c>
      <c r="B103" s="86" t="s">
        <v>231</v>
      </c>
      <c r="C103" s="33" t="str">
        <f t="shared" si="1"/>
        <v>Logic in Motion #60</v>
      </c>
      <c r="D103" s="91"/>
      <c r="E103" s="27">
        <f>COUNTIF('Scenses 🎬'!C:C,C103)</f>
        <v>0</v>
      </c>
    </row>
    <row r="104" ht="22.5" customHeight="1">
      <c r="A104" s="27" t="s">
        <v>17</v>
      </c>
      <c r="B104" s="29" t="s">
        <v>294</v>
      </c>
      <c r="C104" s="33" t="str">
        <f t="shared" si="1"/>
        <v>NETCAT Mastery  #DEMO</v>
      </c>
      <c r="D104" s="41" t="s">
        <v>404</v>
      </c>
      <c r="E104" s="27">
        <f>COUNTIF('Scenses 🎬'!C:C,C104)</f>
        <v>0</v>
      </c>
    </row>
    <row r="105" ht="22.5" customHeight="1">
      <c r="A105" s="27">
        <v>1.0</v>
      </c>
      <c r="B105" s="29" t="s">
        <v>294</v>
      </c>
      <c r="C105" s="33" t="str">
        <f t="shared" si="1"/>
        <v>NETCAT Mastery  #1</v>
      </c>
      <c r="D105" s="41" t="s">
        <v>407</v>
      </c>
      <c r="E105" s="27">
        <f>COUNTIF('Scenses 🎬'!C:C,C105)</f>
        <v>0</v>
      </c>
    </row>
    <row r="106" ht="22.5" customHeight="1">
      <c r="A106" s="27">
        <v>2.0</v>
      </c>
      <c r="B106" s="29" t="s">
        <v>294</v>
      </c>
      <c r="C106" s="33" t="str">
        <f t="shared" si="1"/>
        <v>NETCAT Mastery  #2</v>
      </c>
      <c r="D106" s="41" t="s">
        <v>410</v>
      </c>
      <c r="E106" s="27">
        <f>COUNTIF('Scenses 🎬'!C:C,C106)</f>
        <v>0</v>
      </c>
    </row>
    <row r="107" ht="22.5" customHeight="1">
      <c r="A107" s="27">
        <v>3.0</v>
      </c>
      <c r="B107" s="29" t="s">
        <v>294</v>
      </c>
      <c r="C107" s="33" t="str">
        <f t="shared" si="1"/>
        <v>NETCAT Mastery  #3</v>
      </c>
      <c r="D107" s="41" t="s">
        <v>412</v>
      </c>
      <c r="E107" s="27">
        <f>COUNTIF('Scenses 🎬'!C:C,C107)</f>
        <v>0</v>
      </c>
    </row>
    <row r="108" ht="22.5" customHeight="1">
      <c r="A108" s="27">
        <v>4.0</v>
      </c>
      <c r="B108" s="29" t="s">
        <v>294</v>
      </c>
      <c r="C108" s="33" t="str">
        <f t="shared" si="1"/>
        <v>NETCAT Mastery  #4</v>
      </c>
      <c r="D108" s="41" t="s">
        <v>415</v>
      </c>
      <c r="E108" s="27">
        <f>COUNTIF('Scenses 🎬'!C:C,C108)</f>
        <v>0</v>
      </c>
    </row>
    <row r="109" ht="22.5" customHeight="1">
      <c r="A109" s="27">
        <v>5.0</v>
      </c>
      <c r="B109" s="29" t="s">
        <v>294</v>
      </c>
      <c r="C109" s="33" t="str">
        <f t="shared" si="1"/>
        <v>NETCAT Mastery  #5</v>
      </c>
      <c r="D109" s="41" t="s">
        <v>417</v>
      </c>
      <c r="E109" s="27">
        <f>COUNTIF('Scenses 🎬'!C:C,C109)</f>
        <v>0</v>
      </c>
    </row>
    <row r="110" ht="22.5" customHeight="1">
      <c r="A110" s="27">
        <v>6.0</v>
      </c>
      <c r="B110" s="29" t="s">
        <v>294</v>
      </c>
      <c r="C110" s="33" t="str">
        <f t="shared" si="1"/>
        <v>NETCAT Mastery  #6</v>
      </c>
      <c r="D110" s="41" t="s">
        <v>420</v>
      </c>
      <c r="E110" s="27">
        <f>COUNTIF('Scenses 🎬'!C:C,C110)</f>
        <v>0</v>
      </c>
    </row>
    <row r="111" ht="22.5" customHeight="1">
      <c r="A111" s="27">
        <v>7.0</v>
      </c>
      <c r="B111" s="29" t="s">
        <v>294</v>
      </c>
      <c r="C111" s="33" t="str">
        <f t="shared" si="1"/>
        <v>NETCAT Mastery  #7</v>
      </c>
      <c r="D111" s="41" t="s">
        <v>423</v>
      </c>
      <c r="E111" s="27">
        <f>COUNTIF('Scenses 🎬'!C:C,C111)</f>
        <v>0</v>
      </c>
    </row>
    <row r="112" ht="22.5" customHeight="1">
      <c r="A112" s="27">
        <v>8.0</v>
      </c>
      <c r="B112" s="29" t="s">
        <v>294</v>
      </c>
      <c r="C112" s="33" t="str">
        <f t="shared" si="1"/>
        <v>NETCAT Mastery  #8</v>
      </c>
      <c r="D112" s="130" t="s">
        <v>426</v>
      </c>
      <c r="E112" s="27">
        <f>COUNTIF('Scenses 🎬'!C:C,C112)</f>
        <v>0</v>
      </c>
    </row>
    <row r="113" ht="22.5" customHeight="1">
      <c r="A113" s="27">
        <v>9.0</v>
      </c>
      <c r="B113" s="29" t="s">
        <v>294</v>
      </c>
      <c r="C113" s="33" t="str">
        <f t="shared" si="1"/>
        <v>NETCAT Mastery  #9</v>
      </c>
      <c r="D113" s="41" t="s">
        <v>429</v>
      </c>
      <c r="E113" s="27">
        <f>COUNTIF('Scenses 🎬'!C:C,C113)</f>
        <v>0</v>
      </c>
    </row>
    <row r="114" ht="22.5" customHeight="1">
      <c r="A114" s="27">
        <v>10.0</v>
      </c>
      <c r="B114" s="29" t="s">
        <v>294</v>
      </c>
      <c r="C114" s="33" t="str">
        <f t="shared" si="1"/>
        <v>NETCAT Mastery  #10</v>
      </c>
      <c r="D114" s="41" t="s">
        <v>432</v>
      </c>
      <c r="E114" s="27">
        <f>COUNTIF('Scenses 🎬'!C:C,C114)</f>
        <v>0</v>
      </c>
    </row>
    <row r="115" ht="22.5" customHeight="1">
      <c r="A115" s="27">
        <v>11.0</v>
      </c>
      <c r="B115" s="29" t="s">
        <v>294</v>
      </c>
      <c r="C115" s="33" t="str">
        <f t="shared" si="1"/>
        <v>NETCAT Mastery  #11</v>
      </c>
      <c r="D115" s="41" t="s">
        <v>435</v>
      </c>
      <c r="E115" s="27">
        <f>COUNTIF('Scenses 🎬'!C:C,C115)</f>
        <v>0</v>
      </c>
    </row>
    <row r="116" ht="22.5" customHeight="1">
      <c r="A116" s="27">
        <v>12.0</v>
      </c>
      <c r="B116" s="29" t="s">
        <v>294</v>
      </c>
      <c r="C116" s="33" t="str">
        <f t="shared" si="1"/>
        <v>NETCAT Mastery  #12</v>
      </c>
      <c r="D116" s="41" t="s">
        <v>438</v>
      </c>
      <c r="E116" s="27">
        <f>COUNTIF('Scenses 🎬'!C:C,C116)</f>
        <v>0</v>
      </c>
    </row>
    <row r="117" ht="22.5" customHeight="1">
      <c r="A117" s="27">
        <v>13.0</v>
      </c>
      <c r="B117" s="29" t="s">
        <v>294</v>
      </c>
      <c r="C117" s="33" t="str">
        <f t="shared" si="1"/>
        <v>NETCAT Mastery  #13</v>
      </c>
      <c r="D117" s="41" t="s">
        <v>441</v>
      </c>
      <c r="E117" s="27">
        <f>COUNTIF('Scenses 🎬'!C:C,C117)</f>
        <v>0</v>
      </c>
    </row>
    <row r="118" ht="22.5" customHeight="1">
      <c r="A118" s="27">
        <v>14.0</v>
      </c>
      <c r="B118" s="29" t="s">
        <v>294</v>
      </c>
      <c r="C118" s="33" t="str">
        <f t="shared" si="1"/>
        <v>NETCAT Mastery  #14</v>
      </c>
      <c r="D118" s="41" t="s">
        <v>446</v>
      </c>
      <c r="E118" s="27">
        <f>COUNTIF('Scenses 🎬'!C:C,C118)</f>
        <v>0</v>
      </c>
    </row>
    <row r="119" ht="22.5" customHeight="1">
      <c r="A119" s="27">
        <v>15.0</v>
      </c>
      <c r="B119" s="29" t="s">
        <v>294</v>
      </c>
      <c r="C119" s="33" t="str">
        <f t="shared" si="1"/>
        <v>NETCAT Mastery  #15</v>
      </c>
      <c r="D119" s="41" t="s">
        <v>451</v>
      </c>
      <c r="E119" s="27">
        <f>COUNTIF('Scenses 🎬'!C:C,C119)</f>
        <v>0</v>
      </c>
    </row>
    <row r="120" ht="22.5" customHeight="1">
      <c r="A120" s="27">
        <v>16.0</v>
      </c>
      <c r="B120" s="29" t="s">
        <v>294</v>
      </c>
      <c r="C120" s="33" t="str">
        <f t="shared" si="1"/>
        <v>NETCAT Mastery  #16</v>
      </c>
      <c r="D120" s="41" t="s">
        <v>454</v>
      </c>
      <c r="E120" s="27">
        <f>COUNTIF('Scenses 🎬'!C:C,C120)</f>
        <v>0</v>
      </c>
    </row>
    <row r="121" ht="22.5" customHeight="1">
      <c r="A121" s="27">
        <v>17.0</v>
      </c>
      <c r="B121" s="29" t="s">
        <v>294</v>
      </c>
      <c r="C121" s="33" t="str">
        <f t="shared" si="1"/>
        <v>NETCAT Mastery  #17</v>
      </c>
      <c r="D121" s="41" t="s">
        <v>455</v>
      </c>
      <c r="E121" s="27">
        <f>COUNTIF('Scenses 🎬'!C:C,C121)</f>
        <v>0</v>
      </c>
    </row>
    <row r="122" ht="22.5" customHeight="1">
      <c r="A122" s="27">
        <v>18.0</v>
      </c>
      <c r="B122" s="29" t="s">
        <v>294</v>
      </c>
      <c r="C122" s="33" t="str">
        <f t="shared" si="1"/>
        <v>NETCAT Mastery  #18</v>
      </c>
      <c r="D122" s="41" t="s">
        <v>458</v>
      </c>
      <c r="E122" s="27">
        <f>COUNTIF('Scenses 🎬'!C:C,C122)</f>
        <v>0</v>
      </c>
    </row>
    <row r="123" ht="22.5" customHeight="1">
      <c r="A123" s="27">
        <v>19.0</v>
      </c>
      <c r="B123" s="29" t="s">
        <v>294</v>
      </c>
      <c r="C123" s="33" t="str">
        <f t="shared" si="1"/>
        <v>NETCAT Mastery  #19</v>
      </c>
      <c r="D123" s="41" t="s">
        <v>461</v>
      </c>
      <c r="E123" s="27">
        <f>COUNTIF('Scenses 🎬'!C:C,C123)</f>
        <v>0</v>
      </c>
    </row>
    <row r="124" ht="22.5" customHeight="1">
      <c r="A124" s="27">
        <v>20.0</v>
      </c>
      <c r="B124" s="29" t="s">
        <v>294</v>
      </c>
      <c r="C124" s="33" t="str">
        <f t="shared" si="1"/>
        <v>NETCAT Mastery  #20</v>
      </c>
      <c r="D124" s="91"/>
      <c r="E124" s="27">
        <f>COUNTIF('Scenses 🎬'!C:C,C124)</f>
        <v>0</v>
      </c>
    </row>
    <row r="125" ht="22.5" customHeight="1">
      <c r="A125" s="27">
        <v>21.0</v>
      </c>
      <c r="B125" s="29" t="s">
        <v>294</v>
      </c>
      <c r="C125" s="33" t="str">
        <f t="shared" si="1"/>
        <v>NETCAT Mastery  #21</v>
      </c>
      <c r="D125" s="91"/>
      <c r="E125" s="27">
        <f>COUNTIF('Scenses 🎬'!C:C,C125)</f>
        <v>0</v>
      </c>
    </row>
    <row r="126" ht="22.5" customHeight="1">
      <c r="A126" s="27">
        <v>22.0</v>
      </c>
      <c r="B126" s="29" t="s">
        <v>294</v>
      </c>
      <c r="C126" s="33" t="str">
        <f t="shared" si="1"/>
        <v>NETCAT Mastery  #22</v>
      </c>
      <c r="D126" s="91"/>
      <c r="E126" s="27">
        <f>COUNTIF('Scenses 🎬'!C:C,C126)</f>
        <v>0</v>
      </c>
    </row>
    <row r="127" ht="22.5" customHeight="1">
      <c r="A127" s="27">
        <v>23.0</v>
      </c>
      <c r="B127" s="29" t="s">
        <v>294</v>
      </c>
      <c r="C127" s="33" t="str">
        <f t="shared" si="1"/>
        <v>NETCAT Mastery  #23</v>
      </c>
      <c r="D127" s="91"/>
      <c r="E127" s="27">
        <f>COUNTIF('Scenses 🎬'!C:C,C127)</f>
        <v>0</v>
      </c>
    </row>
    <row r="128" ht="22.5" customHeight="1">
      <c r="A128" s="27">
        <v>24.0</v>
      </c>
      <c r="B128" s="29" t="s">
        <v>294</v>
      </c>
      <c r="C128" s="33" t="str">
        <f t="shared" si="1"/>
        <v>NETCAT Mastery  #24</v>
      </c>
      <c r="D128" s="91"/>
      <c r="E128" s="27">
        <f>COUNTIF('Scenses 🎬'!C:C,C128)</f>
        <v>0</v>
      </c>
    </row>
    <row r="129" ht="22.5" customHeight="1">
      <c r="A129" s="27">
        <v>25.0</v>
      </c>
      <c r="B129" s="29" t="s">
        <v>294</v>
      </c>
      <c r="C129" s="33" t="str">
        <f t="shared" si="1"/>
        <v>NETCAT Mastery  #25</v>
      </c>
      <c r="D129" s="91"/>
      <c r="E129" s="27">
        <f>COUNTIF('Scenses 🎬'!C:C,C129)</f>
        <v>0</v>
      </c>
    </row>
    <row r="130" ht="22.5" customHeight="1">
      <c r="A130" s="27">
        <v>26.0</v>
      </c>
      <c r="B130" s="29" t="s">
        <v>294</v>
      </c>
      <c r="C130" s="33" t="str">
        <f t="shared" si="1"/>
        <v>NETCAT Mastery  #26</v>
      </c>
      <c r="D130" s="91"/>
      <c r="E130" s="27">
        <f>COUNTIF('Scenses 🎬'!C:C,C130)</f>
        <v>0</v>
      </c>
    </row>
    <row r="131" ht="22.5" customHeight="1">
      <c r="A131" s="27">
        <v>27.0</v>
      </c>
      <c r="B131" s="29" t="s">
        <v>294</v>
      </c>
      <c r="C131" s="33" t="str">
        <f t="shared" si="1"/>
        <v>NETCAT Mastery  #27</v>
      </c>
      <c r="D131" s="91"/>
      <c r="E131" s="27">
        <f>COUNTIF('Scenses 🎬'!C:C,C131)</f>
        <v>0</v>
      </c>
    </row>
    <row r="132" ht="22.5" customHeight="1">
      <c r="A132" s="27">
        <v>28.0</v>
      </c>
      <c r="B132" s="29" t="s">
        <v>294</v>
      </c>
      <c r="C132" s="33" t="str">
        <f t="shared" si="1"/>
        <v>NETCAT Mastery  #28</v>
      </c>
      <c r="D132" s="91"/>
      <c r="E132" s="27">
        <f>COUNTIF('Scenses 🎬'!C:C,C132)</f>
        <v>0</v>
      </c>
    </row>
    <row r="133" ht="22.5" customHeight="1">
      <c r="A133" s="27">
        <v>29.0</v>
      </c>
      <c r="B133" s="29" t="s">
        <v>294</v>
      </c>
      <c r="C133" s="33" t="str">
        <f t="shared" si="1"/>
        <v>NETCAT Mastery  #29</v>
      </c>
      <c r="D133" s="91"/>
      <c r="E133" s="27">
        <f>COUNTIF('Scenses 🎬'!C:C,C133)</f>
        <v>0</v>
      </c>
    </row>
    <row r="134" ht="22.5" customHeight="1">
      <c r="A134" s="27">
        <v>30.0</v>
      </c>
      <c r="B134" s="29" t="s">
        <v>294</v>
      </c>
      <c r="C134" s="33" t="str">
        <f t="shared" si="1"/>
        <v>NETCAT Mastery  #30</v>
      </c>
      <c r="D134" s="91"/>
      <c r="E134" s="27">
        <f>COUNTIF('Scenses 🎬'!C:C,C134)</f>
        <v>0</v>
      </c>
    </row>
    <row r="135" ht="22.5" customHeight="1">
      <c r="A135" s="27">
        <v>31.0</v>
      </c>
      <c r="B135" s="29" t="s">
        <v>294</v>
      </c>
      <c r="C135" s="33" t="str">
        <f t="shared" si="1"/>
        <v>NETCAT Mastery  #31</v>
      </c>
      <c r="D135" s="91"/>
      <c r="E135" s="27">
        <f>COUNTIF('Scenses 🎬'!C:C,C135)</f>
        <v>0</v>
      </c>
    </row>
    <row r="136" ht="22.5" customHeight="1">
      <c r="A136" s="27">
        <v>32.0</v>
      </c>
      <c r="B136" s="29" t="s">
        <v>294</v>
      </c>
      <c r="C136" s="33" t="str">
        <f t="shared" si="1"/>
        <v>NETCAT Mastery  #32</v>
      </c>
      <c r="D136" s="91"/>
      <c r="E136" s="27">
        <f>COUNTIF('Scenses 🎬'!C:C,C136)</f>
        <v>0</v>
      </c>
    </row>
    <row r="137" ht="22.5" customHeight="1">
      <c r="A137" s="27">
        <v>33.0</v>
      </c>
      <c r="B137" s="29" t="s">
        <v>294</v>
      </c>
      <c r="C137" s="33" t="str">
        <f t="shared" si="1"/>
        <v>NETCAT Mastery  #33</v>
      </c>
      <c r="D137" s="91"/>
      <c r="E137" s="27">
        <f>COUNTIF('Scenses 🎬'!C:C,C137)</f>
        <v>0</v>
      </c>
    </row>
    <row r="138" ht="22.5" customHeight="1">
      <c r="A138" s="27">
        <v>34.0</v>
      </c>
      <c r="B138" s="29" t="s">
        <v>294</v>
      </c>
      <c r="C138" s="33" t="str">
        <f t="shared" si="1"/>
        <v>NETCAT Mastery  #34</v>
      </c>
      <c r="D138" s="91"/>
      <c r="E138" s="27">
        <f>COUNTIF('Scenses 🎬'!C:C,C138)</f>
        <v>0</v>
      </c>
    </row>
    <row r="139" ht="22.5" customHeight="1">
      <c r="A139" s="27">
        <v>35.0</v>
      </c>
      <c r="B139" s="29" t="s">
        <v>294</v>
      </c>
      <c r="C139" s="33" t="str">
        <f t="shared" si="1"/>
        <v>NETCAT Mastery  #35</v>
      </c>
      <c r="D139" s="91"/>
      <c r="E139" s="27">
        <f>COUNTIF('Scenses 🎬'!C:C,C139)</f>
        <v>0</v>
      </c>
    </row>
    <row r="140" ht="22.5" customHeight="1">
      <c r="A140" s="27">
        <v>36.0</v>
      </c>
      <c r="B140" s="29" t="s">
        <v>294</v>
      </c>
      <c r="C140" s="33" t="str">
        <f t="shared" si="1"/>
        <v>NETCAT Mastery  #36</v>
      </c>
      <c r="D140" s="91"/>
      <c r="E140" s="27">
        <f>COUNTIF('Scenses 🎬'!C:C,C140)</f>
        <v>0</v>
      </c>
    </row>
    <row r="141" ht="22.5" customHeight="1">
      <c r="A141" s="27">
        <v>37.0</v>
      </c>
      <c r="B141" s="29" t="s">
        <v>294</v>
      </c>
      <c r="C141" s="33" t="str">
        <f t="shared" si="1"/>
        <v>NETCAT Mastery  #37</v>
      </c>
      <c r="D141" s="91"/>
      <c r="E141" s="27">
        <f>COUNTIF('Scenses 🎬'!C:C,C141)</f>
        <v>0</v>
      </c>
    </row>
    <row r="142" ht="22.5" customHeight="1">
      <c r="A142" s="27">
        <v>38.0</v>
      </c>
      <c r="B142" s="29" t="s">
        <v>294</v>
      </c>
      <c r="C142" s="33" t="str">
        <f t="shared" si="1"/>
        <v>NETCAT Mastery  #38</v>
      </c>
      <c r="D142" s="91"/>
      <c r="E142" s="27">
        <f>COUNTIF('Scenses 🎬'!C:C,C142)</f>
        <v>0</v>
      </c>
    </row>
    <row r="143" ht="22.5" customHeight="1">
      <c r="A143" s="27">
        <v>39.0</v>
      </c>
      <c r="B143" s="29" t="s">
        <v>294</v>
      </c>
      <c r="C143" s="33" t="str">
        <f t="shared" si="1"/>
        <v>NETCAT Mastery  #39</v>
      </c>
      <c r="D143" s="91"/>
      <c r="E143" s="27">
        <f>COUNTIF('Scenses 🎬'!C:C,C143)</f>
        <v>0</v>
      </c>
    </row>
    <row r="144" ht="22.5" customHeight="1">
      <c r="A144" s="27">
        <v>40.0</v>
      </c>
      <c r="B144" s="29" t="s">
        <v>294</v>
      </c>
      <c r="C144" s="33" t="str">
        <f t="shared" si="1"/>
        <v>NETCAT Mastery  #40</v>
      </c>
      <c r="D144" s="91"/>
      <c r="E144" s="27">
        <f>COUNTIF('Scenses 🎬'!C:C,C144)</f>
        <v>0</v>
      </c>
    </row>
    <row r="145" ht="22.5" customHeight="1">
      <c r="A145" s="27"/>
      <c r="B145" s="133"/>
      <c r="C145" s="33" t="str">
        <f t="shared" si="1"/>
        <v> #</v>
      </c>
      <c r="D145" s="91"/>
      <c r="E145" s="27">
        <f>COUNTIF('Scenses 🎬'!C:C,C145)</f>
        <v>0</v>
      </c>
    </row>
    <row r="146">
      <c r="A146" s="65"/>
      <c r="B146" s="68"/>
      <c r="C146" s="68"/>
      <c r="D146" s="68"/>
      <c r="E146" s="65"/>
    </row>
    <row r="147">
      <c r="A147" s="65"/>
      <c r="B147" s="68"/>
      <c r="C147" s="68"/>
      <c r="D147" s="68"/>
      <c r="E147" s="65"/>
    </row>
    <row r="148">
      <c r="A148" s="65"/>
      <c r="B148" s="68"/>
      <c r="C148" s="68"/>
      <c r="D148" s="68"/>
      <c r="E148" s="65"/>
    </row>
    <row r="149">
      <c r="A149" s="65"/>
      <c r="B149" s="68"/>
      <c r="C149" s="68"/>
      <c r="D149" s="68"/>
      <c r="E149" s="65"/>
    </row>
    <row r="150">
      <c r="A150" s="65"/>
      <c r="B150" s="68"/>
      <c r="C150" s="68"/>
      <c r="D150" s="68"/>
      <c r="E150" s="65"/>
    </row>
    <row r="151">
      <c r="A151" s="65"/>
      <c r="B151" s="68"/>
      <c r="C151" s="68"/>
      <c r="D151" s="68"/>
      <c r="E151" s="65"/>
    </row>
    <row r="152">
      <c r="A152" s="65"/>
      <c r="B152" s="68"/>
      <c r="C152" s="68"/>
      <c r="D152" s="68"/>
      <c r="E152" s="65"/>
    </row>
    <row r="153">
      <c r="A153" s="65"/>
      <c r="B153" s="68"/>
      <c r="C153" s="68"/>
      <c r="D153" s="68"/>
      <c r="E153" s="65"/>
    </row>
    <row r="154">
      <c r="A154" s="65"/>
      <c r="B154" s="68"/>
      <c r="C154" s="68"/>
      <c r="D154" s="68"/>
      <c r="E154" s="65"/>
    </row>
    <row r="155">
      <c r="A155" s="65"/>
      <c r="B155" s="68"/>
      <c r="C155" s="68"/>
      <c r="D155" s="68"/>
      <c r="E155" s="65"/>
    </row>
    <row r="156">
      <c r="A156" s="65"/>
      <c r="B156" s="68"/>
      <c r="C156" s="68"/>
      <c r="D156" s="68"/>
      <c r="E156" s="65"/>
    </row>
    <row r="157">
      <c r="A157" s="65"/>
      <c r="B157" s="68"/>
      <c r="C157" s="68"/>
      <c r="D157" s="68"/>
      <c r="E157" s="65"/>
    </row>
    <row r="158">
      <c r="A158" s="65"/>
      <c r="B158" s="68"/>
      <c r="C158" s="68"/>
      <c r="D158" s="68"/>
      <c r="E158" s="65"/>
    </row>
    <row r="159">
      <c r="A159" s="65"/>
      <c r="B159" s="68"/>
      <c r="C159" s="68"/>
      <c r="D159" s="68"/>
      <c r="E159" s="65"/>
    </row>
    <row r="160">
      <c r="A160" s="65"/>
      <c r="B160" s="68"/>
      <c r="C160" s="68"/>
      <c r="D160" s="68"/>
      <c r="E160" s="65"/>
    </row>
    <row r="161">
      <c r="A161" s="65"/>
      <c r="B161" s="68"/>
      <c r="C161" s="68"/>
      <c r="D161" s="68"/>
      <c r="E161" s="65"/>
    </row>
    <row r="162">
      <c r="A162" s="65"/>
      <c r="B162" s="68"/>
      <c r="C162" s="68"/>
      <c r="D162" s="68"/>
      <c r="E162" s="65"/>
    </row>
    <row r="163">
      <c r="A163" s="65"/>
      <c r="B163" s="68"/>
      <c r="C163" s="68"/>
      <c r="D163" s="68"/>
      <c r="E163" s="65"/>
    </row>
    <row r="164">
      <c r="A164" s="136"/>
      <c r="B164" s="137"/>
      <c r="C164" s="138"/>
      <c r="D164" s="139"/>
      <c r="E164" s="140"/>
    </row>
    <row r="165">
      <c r="A165" s="136"/>
      <c r="B165" s="137"/>
      <c r="C165" s="138"/>
      <c r="D165" s="139"/>
      <c r="E165" s="140"/>
    </row>
    <row r="166">
      <c r="A166" s="136"/>
      <c r="B166" s="137"/>
      <c r="C166" s="138"/>
      <c r="D166" s="139"/>
      <c r="E166" s="140"/>
    </row>
    <row r="167">
      <c r="A167" s="136"/>
      <c r="B167" s="137"/>
      <c r="C167" s="138"/>
      <c r="D167" s="139"/>
      <c r="E167" s="140"/>
    </row>
    <row r="168">
      <c r="A168" s="136"/>
      <c r="B168" s="137"/>
      <c r="C168" s="138"/>
      <c r="D168" s="139"/>
      <c r="E168" s="140"/>
    </row>
    <row r="169">
      <c r="A169" s="136"/>
      <c r="B169" s="137"/>
      <c r="C169" s="138"/>
      <c r="D169" s="139"/>
      <c r="E169" s="140"/>
    </row>
    <row r="170">
      <c r="A170" s="136"/>
      <c r="B170" s="137"/>
      <c r="C170" s="138"/>
      <c r="D170" s="139"/>
      <c r="E170" s="140"/>
    </row>
    <row r="171">
      <c r="A171" s="136"/>
      <c r="B171" s="137"/>
      <c r="C171" s="138"/>
      <c r="D171" s="139"/>
      <c r="E171" s="140"/>
    </row>
    <row r="172">
      <c r="A172" s="136"/>
      <c r="B172" s="137"/>
      <c r="C172" s="138"/>
      <c r="D172" s="139"/>
      <c r="E172" s="140"/>
    </row>
    <row r="173">
      <c r="A173" s="136"/>
      <c r="B173" s="137"/>
      <c r="C173" s="138"/>
      <c r="D173" s="139"/>
      <c r="E173" s="140"/>
    </row>
    <row r="174">
      <c r="A174" s="136"/>
      <c r="B174" s="137"/>
      <c r="C174" s="138"/>
      <c r="D174" s="139"/>
      <c r="E174" s="140"/>
    </row>
    <row r="175">
      <c r="A175" s="136"/>
      <c r="B175" s="137"/>
      <c r="C175" s="138"/>
      <c r="D175" s="139"/>
      <c r="E175" s="140"/>
    </row>
    <row r="176">
      <c r="A176" s="136"/>
      <c r="B176" s="137"/>
      <c r="C176" s="138"/>
      <c r="D176" s="139"/>
      <c r="E176" s="140"/>
    </row>
    <row r="177">
      <c r="A177" s="136"/>
      <c r="B177" s="137"/>
      <c r="C177" s="138"/>
      <c r="D177" s="139"/>
      <c r="E177" s="140"/>
    </row>
    <row r="178">
      <c r="A178" s="136"/>
      <c r="B178" s="137"/>
      <c r="C178" s="138"/>
      <c r="D178" s="139"/>
      <c r="E178" s="140"/>
    </row>
    <row r="179">
      <c r="A179" s="136"/>
      <c r="B179" s="137"/>
      <c r="C179" s="138"/>
      <c r="D179" s="139"/>
      <c r="E179" s="140"/>
    </row>
    <row r="180">
      <c r="A180" s="136"/>
      <c r="B180" s="137"/>
      <c r="C180" s="138"/>
      <c r="D180" s="139"/>
      <c r="E180" s="140"/>
    </row>
    <row r="181">
      <c r="A181" s="136"/>
      <c r="B181" s="137"/>
      <c r="C181" s="138"/>
      <c r="D181" s="139"/>
      <c r="E181" s="140"/>
    </row>
    <row r="182">
      <c r="A182" s="136"/>
      <c r="B182" s="137"/>
      <c r="C182" s="138"/>
      <c r="D182" s="139"/>
      <c r="E182" s="140"/>
    </row>
    <row r="183">
      <c r="A183" s="136"/>
      <c r="B183" s="137"/>
      <c r="C183" s="138"/>
      <c r="D183" s="139"/>
      <c r="E183" s="140"/>
    </row>
    <row r="184">
      <c r="A184" s="136"/>
      <c r="B184" s="137"/>
      <c r="C184" s="138"/>
      <c r="D184" s="139"/>
      <c r="E184" s="140"/>
    </row>
    <row r="185">
      <c r="A185" s="136"/>
      <c r="B185" s="137"/>
      <c r="C185" s="138"/>
      <c r="D185" s="139"/>
      <c r="E185" s="140"/>
    </row>
    <row r="186">
      <c r="A186" s="136"/>
      <c r="B186" s="137"/>
      <c r="C186" s="138"/>
      <c r="D186" s="139"/>
      <c r="E186" s="140"/>
    </row>
    <row r="187">
      <c r="A187" s="136"/>
      <c r="B187" s="137"/>
      <c r="C187" s="138"/>
      <c r="D187" s="139"/>
      <c r="E187" s="140"/>
    </row>
    <row r="188">
      <c r="A188" s="136"/>
      <c r="B188" s="137"/>
      <c r="C188" s="138"/>
      <c r="D188" s="139"/>
      <c r="E188" s="140"/>
    </row>
    <row r="189">
      <c r="A189" s="136"/>
      <c r="B189" s="137"/>
      <c r="C189" s="138"/>
      <c r="D189" s="139"/>
      <c r="E189" s="140"/>
    </row>
    <row r="190">
      <c r="A190" s="136"/>
      <c r="B190" s="137"/>
      <c r="C190" s="138"/>
      <c r="D190" s="139"/>
      <c r="E190" s="140"/>
    </row>
    <row r="191">
      <c r="A191" s="136"/>
      <c r="B191" s="137"/>
      <c r="C191" s="138"/>
      <c r="D191" s="139"/>
      <c r="E191" s="140"/>
    </row>
    <row r="192">
      <c r="A192" s="136"/>
      <c r="B192" s="137"/>
      <c r="C192" s="138"/>
      <c r="D192" s="139"/>
      <c r="E192" s="140"/>
    </row>
    <row r="193">
      <c r="A193" s="136"/>
      <c r="B193" s="137"/>
      <c r="C193" s="138"/>
      <c r="D193" s="139"/>
      <c r="E193" s="140"/>
    </row>
    <row r="194">
      <c r="A194" s="136"/>
      <c r="B194" s="137"/>
      <c r="C194" s="138"/>
      <c r="D194" s="139"/>
      <c r="E194" s="140"/>
    </row>
    <row r="195">
      <c r="A195" s="136"/>
      <c r="B195" s="137"/>
      <c r="C195" s="138"/>
      <c r="D195" s="139"/>
      <c r="E195" s="140"/>
    </row>
    <row r="196">
      <c r="A196" s="136"/>
      <c r="B196" s="137"/>
      <c r="C196" s="138"/>
      <c r="D196" s="139"/>
      <c r="E196" s="140"/>
    </row>
    <row r="197">
      <c r="A197" s="136"/>
      <c r="B197" s="137"/>
      <c r="C197" s="138"/>
      <c r="D197" s="139"/>
      <c r="E197" s="140"/>
    </row>
    <row r="198">
      <c r="A198" s="136"/>
      <c r="B198" s="137"/>
      <c r="C198" s="138"/>
      <c r="D198" s="139"/>
      <c r="E198" s="140"/>
    </row>
    <row r="199">
      <c r="A199" s="136"/>
      <c r="B199" s="137"/>
      <c r="C199" s="138"/>
      <c r="D199" s="139"/>
      <c r="E199" s="140"/>
    </row>
    <row r="200">
      <c r="A200" s="136"/>
      <c r="B200" s="137"/>
      <c r="C200" s="138"/>
      <c r="D200" s="139"/>
      <c r="E200" s="140"/>
    </row>
    <row r="201">
      <c r="A201" s="136"/>
      <c r="B201" s="137"/>
      <c r="C201" s="138"/>
      <c r="D201" s="139"/>
      <c r="E201" s="140"/>
    </row>
    <row r="202">
      <c r="A202" s="136"/>
      <c r="B202" s="137"/>
      <c r="C202" s="138"/>
      <c r="D202" s="139"/>
      <c r="E202" s="140"/>
    </row>
    <row r="203">
      <c r="A203" s="136"/>
      <c r="B203" s="137"/>
      <c r="C203" s="138"/>
      <c r="D203" s="139"/>
      <c r="E203" s="140"/>
    </row>
    <row r="204">
      <c r="A204" s="136"/>
      <c r="B204" s="137"/>
      <c r="C204" s="138"/>
      <c r="D204" s="139"/>
      <c r="E204" s="140"/>
    </row>
    <row r="205">
      <c r="A205" s="136"/>
      <c r="B205" s="137"/>
      <c r="C205" s="138"/>
      <c r="D205" s="139"/>
      <c r="E205" s="140"/>
    </row>
    <row r="206">
      <c r="A206" s="136"/>
      <c r="B206" s="137"/>
      <c r="C206" s="138"/>
      <c r="D206" s="139"/>
      <c r="E206" s="140"/>
    </row>
    <row r="207">
      <c r="A207" s="136"/>
      <c r="B207" s="137"/>
      <c r="C207" s="138"/>
      <c r="D207" s="139"/>
      <c r="E207" s="140"/>
    </row>
    <row r="208">
      <c r="A208" s="136"/>
      <c r="B208" s="137"/>
      <c r="C208" s="138"/>
      <c r="D208" s="139"/>
      <c r="E208" s="140"/>
    </row>
    <row r="209">
      <c r="A209" s="136"/>
      <c r="B209" s="137"/>
      <c r="C209" s="138"/>
      <c r="D209" s="139"/>
      <c r="E209" s="140"/>
    </row>
    <row r="210">
      <c r="A210" s="136"/>
      <c r="B210" s="137"/>
      <c r="C210" s="138"/>
      <c r="D210" s="139"/>
      <c r="E210" s="140"/>
    </row>
    <row r="211">
      <c r="A211" s="136"/>
      <c r="B211" s="137"/>
      <c r="C211" s="138"/>
      <c r="D211" s="139"/>
      <c r="E211" s="140"/>
    </row>
    <row r="212">
      <c r="A212" s="136"/>
      <c r="B212" s="137"/>
      <c r="C212" s="138"/>
      <c r="D212" s="139"/>
      <c r="E212" s="140"/>
    </row>
    <row r="213">
      <c r="A213" s="136"/>
      <c r="B213" s="137"/>
      <c r="C213" s="138"/>
      <c r="D213" s="139"/>
      <c r="E213" s="140"/>
    </row>
    <row r="214">
      <c r="A214" s="136"/>
      <c r="B214" s="137"/>
      <c r="C214" s="138"/>
      <c r="D214" s="139"/>
      <c r="E214" s="140"/>
    </row>
    <row r="215">
      <c r="A215" s="136"/>
      <c r="B215" s="137"/>
      <c r="C215" s="138"/>
      <c r="D215" s="139"/>
      <c r="E215" s="140"/>
    </row>
    <row r="216">
      <c r="A216" s="136"/>
      <c r="B216" s="137"/>
      <c r="C216" s="138"/>
      <c r="D216" s="139"/>
      <c r="E216" s="140"/>
    </row>
    <row r="217">
      <c r="A217" s="136"/>
      <c r="B217" s="137"/>
      <c r="C217" s="138"/>
      <c r="D217" s="139"/>
      <c r="E217" s="140"/>
    </row>
    <row r="218">
      <c r="A218" s="136"/>
      <c r="B218" s="137"/>
      <c r="C218" s="138"/>
      <c r="D218" s="139"/>
      <c r="E218" s="140"/>
    </row>
    <row r="219">
      <c r="A219" s="136"/>
      <c r="B219" s="137"/>
      <c r="C219" s="138"/>
      <c r="D219" s="139"/>
      <c r="E219" s="140"/>
    </row>
    <row r="220">
      <c r="A220" s="136"/>
      <c r="B220" s="137"/>
      <c r="C220" s="138"/>
      <c r="D220" s="139"/>
      <c r="E220" s="140"/>
    </row>
    <row r="221">
      <c r="A221" s="136"/>
      <c r="B221" s="137"/>
      <c r="C221" s="138"/>
      <c r="D221" s="139"/>
      <c r="E221" s="140"/>
    </row>
    <row r="222">
      <c r="A222" s="136"/>
      <c r="B222" s="137"/>
      <c r="C222" s="138"/>
      <c r="D222" s="139"/>
      <c r="E222" s="140"/>
    </row>
    <row r="223">
      <c r="A223" s="136"/>
      <c r="B223" s="137"/>
      <c r="C223" s="138"/>
      <c r="D223" s="139"/>
      <c r="E223" s="140"/>
    </row>
    <row r="224">
      <c r="A224" s="136"/>
      <c r="B224" s="137"/>
      <c r="C224" s="138"/>
      <c r="D224" s="139"/>
      <c r="E224" s="140"/>
    </row>
    <row r="225">
      <c r="A225" s="136"/>
      <c r="B225" s="137"/>
      <c r="C225" s="138"/>
      <c r="D225" s="139"/>
      <c r="E225" s="140"/>
    </row>
    <row r="226">
      <c r="A226" s="136"/>
      <c r="B226" s="137"/>
      <c r="C226" s="138"/>
      <c r="D226" s="139"/>
      <c r="E226" s="140"/>
    </row>
    <row r="227">
      <c r="A227" s="136"/>
      <c r="B227" s="137"/>
      <c r="C227" s="138"/>
      <c r="D227" s="139"/>
      <c r="E227" s="140"/>
    </row>
    <row r="228">
      <c r="A228" s="136"/>
      <c r="B228" s="137"/>
      <c r="C228" s="138"/>
      <c r="D228" s="139"/>
      <c r="E228" s="140"/>
    </row>
    <row r="229">
      <c r="A229" s="136"/>
      <c r="B229" s="137"/>
      <c r="C229" s="138"/>
      <c r="D229" s="139"/>
      <c r="E229" s="140"/>
    </row>
    <row r="230">
      <c r="A230" s="136"/>
      <c r="B230" s="137"/>
      <c r="C230" s="138"/>
      <c r="D230" s="139"/>
      <c r="E230" s="140"/>
    </row>
    <row r="231">
      <c r="A231" s="136"/>
      <c r="B231" s="137"/>
      <c r="C231" s="138"/>
      <c r="D231" s="139"/>
      <c r="E231" s="140"/>
    </row>
    <row r="232">
      <c r="A232" s="136"/>
      <c r="B232" s="137"/>
      <c r="C232" s="138"/>
      <c r="D232" s="139"/>
      <c r="E232" s="140"/>
    </row>
    <row r="233">
      <c r="A233" s="136"/>
      <c r="B233" s="137"/>
      <c r="C233" s="138"/>
      <c r="D233" s="139"/>
      <c r="E233" s="140"/>
    </row>
    <row r="234">
      <c r="A234" s="136"/>
      <c r="B234" s="137"/>
      <c r="C234" s="138"/>
      <c r="D234" s="139"/>
      <c r="E234" s="140"/>
    </row>
    <row r="235">
      <c r="A235" s="136"/>
      <c r="B235" s="137"/>
      <c r="C235" s="138"/>
      <c r="D235" s="139"/>
      <c r="E235" s="140"/>
    </row>
    <row r="236">
      <c r="A236" s="136"/>
      <c r="B236" s="137"/>
      <c r="C236" s="138"/>
      <c r="D236" s="139"/>
      <c r="E236" s="140"/>
    </row>
    <row r="237">
      <c r="A237" s="136"/>
      <c r="B237" s="137"/>
      <c r="C237" s="138"/>
      <c r="D237" s="139"/>
      <c r="E237" s="140"/>
    </row>
    <row r="238">
      <c r="A238" s="136"/>
      <c r="B238" s="137"/>
      <c r="C238" s="138"/>
      <c r="D238" s="139"/>
      <c r="E238" s="140"/>
    </row>
    <row r="239">
      <c r="A239" s="136"/>
      <c r="B239" s="137"/>
      <c r="C239" s="138"/>
      <c r="D239" s="139"/>
      <c r="E239" s="140"/>
    </row>
    <row r="240">
      <c r="A240" s="136"/>
      <c r="B240" s="137"/>
      <c r="C240" s="138"/>
      <c r="D240" s="139"/>
      <c r="E240" s="140"/>
    </row>
    <row r="241">
      <c r="A241" s="136"/>
      <c r="B241" s="137"/>
      <c r="C241" s="138"/>
      <c r="D241" s="139"/>
      <c r="E241" s="140"/>
    </row>
    <row r="242">
      <c r="A242" s="136"/>
      <c r="B242" s="137"/>
      <c r="C242" s="138"/>
      <c r="D242" s="139"/>
      <c r="E242" s="140"/>
    </row>
    <row r="243">
      <c r="A243" s="136"/>
      <c r="B243" s="137"/>
      <c r="C243" s="138"/>
      <c r="D243" s="139"/>
      <c r="E243" s="140"/>
    </row>
    <row r="244">
      <c r="A244" s="136"/>
      <c r="B244" s="137"/>
      <c r="C244" s="138"/>
      <c r="D244" s="139"/>
      <c r="E244" s="140"/>
    </row>
    <row r="245">
      <c r="A245" s="136"/>
      <c r="B245" s="137"/>
      <c r="C245" s="138"/>
      <c r="D245" s="139"/>
      <c r="E245" s="140"/>
    </row>
    <row r="246">
      <c r="A246" s="136"/>
      <c r="B246" s="137"/>
      <c r="C246" s="138"/>
      <c r="D246" s="139"/>
      <c r="E246" s="140"/>
    </row>
    <row r="247">
      <c r="A247" s="136"/>
      <c r="B247" s="137"/>
      <c r="C247" s="138"/>
      <c r="D247" s="139"/>
      <c r="E247" s="140"/>
    </row>
    <row r="248">
      <c r="A248" s="136"/>
      <c r="B248" s="137"/>
      <c r="C248" s="138"/>
      <c r="D248" s="139"/>
      <c r="E248" s="140"/>
    </row>
    <row r="249">
      <c r="A249" s="136"/>
      <c r="B249" s="137"/>
      <c r="C249" s="138"/>
      <c r="D249" s="139"/>
      <c r="E249" s="140"/>
    </row>
    <row r="250">
      <c r="A250" s="136"/>
      <c r="B250" s="137"/>
      <c r="C250" s="138"/>
      <c r="D250" s="139"/>
      <c r="E250" s="140"/>
    </row>
    <row r="251">
      <c r="A251" s="136"/>
      <c r="B251" s="137"/>
      <c r="C251" s="138"/>
      <c r="D251" s="139"/>
      <c r="E251" s="140"/>
    </row>
    <row r="252">
      <c r="A252" s="136"/>
      <c r="B252" s="137"/>
      <c r="C252" s="138"/>
      <c r="D252" s="139"/>
      <c r="E252" s="140"/>
    </row>
    <row r="253">
      <c r="A253" s="136"/>
      <c r="B253" s="137"/>
      <c r="C253" s="138"/>
      <c r="D253" s="139"/>
      <c r="E253" s="140"/>
    </row>
    <row r="254">
      <c r="A254" s="136"/>
      <c r="B254" s="137"/>
      <c r="C254" s="138"/>
      <c r="D254" s="139"/>
      <c r="E254" s="140"/>
    </row>
    <row r="255">
      <c r="A255" s="136"/>
      <c r="B255" s="137"/>
      <c r="C255" s="138"/>
      <c r="D255" s="139"/>
      <c r="E255" s="140"/>
    </row>
    <row r="256">
      <c r="A256" s="136"/>
      <c r="B256" s="137"/>
      <c r="C256" s="138"/>
      <c r="D256" s="139"/>
      <c r="E256" s="140"/>
    </row>
    <row r="257">
      <c r="A257" s="136"/>
      <c r="B257" s="137"/>
      <c r="C257" s="138"/>
      <c r="D257" s="139"/>
      <c r="E257" s="140"/>
    </row>
    <row r="258">
      <c r="A258" s="136"/>
      <c r="B258" s="137"/>
      <c r="C258" s="138"/>
      <c r="D258" s="139"/>
      <c r="E258" s="140"/>
    </row>
    <row r="259">
      <c r="A259" s="136"/>
      <c r="B259" s="137"/>
      <c r="C259" s="138"/>
      <c r="D259" s="139"/>
      <c r="E259" s="140"/>
    </row>
    <row r="260">
      <c r="A260" s="136"/>
      <c r="B260" s="137"/>
      <c r="C260" s="138"/>
      <c r="D260" s="139"/>
      <c r="E260" s="140"/>
    </row>
    <row r="261">
      <c r="A261" s="136"/>
      <c r="B261" s="137"/>
      <c r="C261" s="138"/>
      <c r="D261" s="139"/>
      <c r="E261" s="140"/>
    </row>
    <row r="262">
      <c r="A262" s="136"/>
      <c r="B262" s="137"/>
      <c r="C262" s="138"/>
      <c r="D262" s="139"/>
      <c r="E262" s="140"/>
    </row>
    <row r="263">
      <c r="A263" s="136"/>
      <c r="B263" s="137"/>
      <c r="C263" s="138"/>
      <c r="D263" s="139"/>
      <c r="E263" s="140"/>
    </row>
    <row r="264">
      <c r="A264" s="136"/>
      <c r="B264" s="137"/>
      <c r="C264" s="138"/>
      <c r="D264" s="139"/>
      <c r="E264" s="140"/>
    </row>
    <row r="265">
      <c r="A265" s="136"/>
      <c r="B265" s="137"/>
      <c r="C265" s="138"/>
      <c r="D265" s="139"/>
      <c r="E265" s="140"/>
    </row>
    <row r="266">
      <c r="A266" s="136"/>
      <c r="B266" s="137"/>
      <c r="C266" s="138"/>
      <c r="D266" s="139"/>
      <c r="E266" s="140"/>
    </row>
    <row r="267">
      <c r="A267" s="136"/>
      <c r="B267" s="137"/>
      <c r="C267" s="138"/>
      <c r="D267" s="139"/>
      <c r="E267" s="140"/>
    </row>
    <row r="268">
      <c r="A268" s="136"/>
      <c r="B268" s="137"/>
      <c r="C268" s="138"/>
      <c r="D268" s="139"/>
      <c r="E268" s="140"/>
    </row>
    <row r="269">
      <c r="A269" s="136"/>
      <c r="B269" s="137"/>
      <c r="C269" s="138"/>
      <c r="D269" s="139"/>
      <c r="E269" s="140"/>
    </row>
    <row r="270">
      <c r="A270" s="136"/>
      <c r="B270" s="137"/>
      <c r="C270" s="138"/>
      <c r="D270" s="139"/>
      <c r="E270" s="140"/>
    </row>
    <row r="271">
      <c r="A271" s="136"/>
      <c r="B271" s="137"/>
      <c r="C271" s="138"/>
      <c r="D271" s="139"/>
      <c r="E271" s="140"/>
    </row>
    <row r="272">
      <c r="A272" s="136"/>
      <c r="B272" s="137"/>
      <c r="C272" s="138"/>
      <c r="D272" s="139"/>
      <c r="E272" s="140"/>
    </row>
    <row r="273">
      <c r="A273" s="136"/>
      <c r="B273" s="137"/>
      <c r="C273" s="138"/>
      <c r="D273" s="139"/>
      <c r="E273" s="140"/>
    </row>
    <row r="274">
      <c r="A274" s="136"/>
      <c r="B274" s="137"/>
      <c r="C274" s="138"/>
      <c r="D274" s="139"/>
      <c r="E274" s="140"/>
    </row>
    <row r="275">
      <c r="A275" s="136"/>
      <c r="B275" s="137"/>
      <c r="C275" s="138"/>
      <c r="D275" s="139"/>
      <c r="E275" s="140"/>
    </row>
    <row r="276">
      <c r="A276" s="136"/>
      <c r="B276" s="137"/>
      <c r="C276" s="138"/>
      <c r="D276" s="139"/>
      <c r="E276" s="140"/>
    </row>
    <row r="277">
      <c r="A277" s="136"/>
      <c r="B277" s="137"/>
      <c r="C277" s="138"/>
      <c r="D277" s="139"/>
      <c r="E277" s="140"/>
    </row>
    <row r="278">
      <c r="A278" s="136"/>
      <c r="B278" s="137"/>
      <c r="C278" s="138"/>
      <c r="D278" s="139"/>
      <c r="E278" s="140"/>
    </row>
    <row r="279">
      <c r="A279" s="136"/>
      <c r="B279" s="137"/>
      <c r="C279" s="138"/>
      <c r="D279" s="139"/>
      <c r="E279" s="140"/>
    </row>
    <row r="280">
      <c r="A280" s="136"/>
      <c r="B280" s="137"/>
      <c r="C280" s="138"/>
      <c r="D280" s="139"/>
      <c r="E280" s="140"/>
    </row>
    <row r="281">
      <c r="A281" s="136"/>
      <c r="B281" s="137"/>
      <c r="C281" s="138"/>
      <c r="D281" s="139"/>
      <c r="E281" s="140"/>
    </row>
    <row r="282">
      <c r="A282" s="136"/>
      <c r="B282" s="137"/>
      <c r="C282" s="138"/>
      <c r="D282" s="139"/>
      <c r="E282" s="140"/>
    </row>
    <row r="283">
      <c r="A283" s="136"/>
      <c r="B283" s="137"/>
      <c r="C283" s="138"/>
      <c r="D283" s="139"/>
      <c r="E283" s="140"/>
    </row>
    <row r="284">
      <c r="A284" s="136"/>
      <c r="B284" s="137"/>
      <c r="C284" s="138"/>
      <c r="D284" s="139"/>
      <c r="E284" s="140"/>
    </row>
    <row r="285">
      <c r="A285" s="136"/>
      <c r="B285" s="137"/>
      <c r="C285" s="138"/>
      <c r="D285" s="139"/>
      <c r="E285" s="140"/>
    </row>
    <row r="286">
      <c r="A286" s="136"/>
      <c r="B286" s="137"/>
      <c r="C286" s="138"/>
      <c r="D286" s="139"/>
      <c r="E286" s="140"/>
    </row>
    <row r="287">
      <c r="A287" s="136"/>
      <c r="B287" s="137"/>
      <c r="C287" s="138"/>
      <c r="D287" s="139"/>
      <c r="E287" s="140"/>
    </row>
    <row r="288">
      <c r="A288" s="136"/>
      <c r="B288" s="137"/>
      <c r="C288" s="138"/>
      <c r="D288" s="139"/>
      <c r="E288" s="140"/>
    </row>
    <row r="289">
      <c r="A289" s="136"/>
      <c r="B289" s="137"/>
      <c r="C289" s="138"/>
      <c r="D289" s="139"/>
      <c r="E289" s="140"/>
    </row>
    <row r="290">
      <c r="A290" s="136"/>
      <c r="B290" s="137"/>
      <c r="C290" s="138"/>
      <c r="D290" s="139"/>
      <c r="E290" s="140"/>
    </row>
    <row r="291">
      <c r="A291" s="136"/>
      <c r="B291" s="137"/>
      <c r="C291" s="138"/>
      <c r="D291" s="139"/>
      <c r="E291" s="140"/>
    </row>
    <row r="292">
      <c r="A292" s="136"/>
      <c r="B292" s="137"/>
      <c r="C292" s="138"/>
      <c r="D292" s="139"/>
      <c r="E292" s="140"/>
    </row>
    <row r="293">
      <c r="A293" s="136"/>
      <c r="B293" s="137"/>
      <c r="C293" s="138"/>
      <c r="D293" s="139"/>
      <c r="E293" s="140"/>
    </row>
    <row r="294">
      <c r="A294" s="136"/>
      <c r="B294" s="137"/>
      <c r="C294" s="138"/>
      <c r="D294" s="139"/>
      <c r="E294" s="140"/>
    </row>
    <row r="295">
      <c r="A295" s="136"/>
      <c r="B295" s="137"/>
      <c r="C295" s="138"/>
      <c r="D295" s="139"/>
      <c r="E295" s="140"/>
    </row>
    <row r="296">
      <c r="A296" s="136"/>
      <c r="B296" s="137"/>
      <c r="C296" s="138"/>
      <c r="D296" s="139"/>
      <c r="E296" s="140"/>
    </row>
    <row r="297">
      <c r="A297" s="136"/>
      <c r="B297" s="137"/>
      <c r="C297" s="138"/>
      <c r="D297" s="139"/>
      <c r="E297" s="140"/>
    </row>
    <row r="298">
      <c r="A298" s="136"/>
      <c r="B298" s="137"/>
      <c r="C298" s="138"/>
      <c r="D298" s="139"/>
      <c r="E298" s="140"/>
    </row>
    <row r="299">
      <c r="A299" s="136"/>
      <c r="B299" s="137"/>
      <c r="C299" s="138"/>
      <c r="D299" s="139"/>
      <c r="E299" s="140"/>
    </row>
    <row r="300">
      <c r="A300" s="136"/>
      <c r="B300" s="137"/>
      <c r="C300" s="138"/>
      <c r="D300" s="139"/>
      <c r="E300" s="140"/>
    </row>
    <row r="301">
      <c r="A301" s="136"/>
      <c r="B301" s="137"/>
      <c r="C301" s="138"/>
      <c r="D301" s="139"/>
      <c r="E301" s="140"/>
    </row>
    <row r="302">
      <c r="A302" s="136"/>
      <c r="B302" s="137"/>
      <c r="C302" s="138"/>
      <c r="D302" s="139"/>
      <c r="E302" s="140"/>
    </row>
    <row r="303">
      <c r="A303" s="136"/>
      <c r="B303" s="137"/>
      <c r="C303" s="138"/>
      <c r="D303" s="139"/>
      <c r="E303" s="140"/>
    </row>
    <row r="304">
      <c r="A304" s="136"/>
      <c r="B304" s="137"/>
      <c r="C304" s="138"/>
      <c r="D304" s="139"/>
      <c r="E304" s="140"/>
    </row>
    <row r="305">
      <c r="A305" s="136"/>
      <c r="B305" s="137"/>
      <c r="C305" s="138"/>
      <c r="D305" s="139"/>
      <c r="E305" s="140"/>
    </row>
    <row r="306">
      <c r="A306" s="136"/>
      <c r="B306" s="137"/>
      <c r="C306" s="138"/>
      <c r="D306" s="139"/>
      <c r="E306" s="140"/>
    </row>
    <row r="307">
      <c r="A307" s="136"/>
      <c r="B307" s="137"/>
      <c r="C307" s="138"/>
      <c r="D307" s="139"/>
      <c r="E307" s="140"/>
    </row>
    <row r="308">
      <c r="A308" s="136"/>
      <c r="B308" s="137"/>
      <c r="C308" s="138"/>
      <c r="D308" s="139"/>
      <c r="E308" s="140"/>
    </row>
    <row r="309">
      <c r="A309" s="136"/>
      <c r="B309" s="137"/>
      <c r="C309" s="138"/>
      <c r="D309" s="139"/>
      <c r="E309" s="140"/>
    </row>
    <row r="310">
      <c r="A310" s="136"/>
      <c r="B310" s="137"/>
      <c r="C310" s="138"/>
      <c r="D310" s="139"/>
      <c r="E310" s="140"/>
    </row>
    <row r="311">
      <c r="A311" s="136"/>
      <c r="B311" s="137"/>
      <c r="C311" s="138"/>
      <c r="D311" s="139"/>
      <c r="E311" s="140"/>
    </row>
    <row r="312">
      <c r="A312" s="136"/>
      <c r="B312" s="137"/>
      <c r="C312" s="138"/>
      <c r="D312" s="139"/>
      <c r="E312" s="140"/>
    </row>
    <row r="313">
      <c r="A313" s="136"/>
      <c r="B313" s="137"/>
      <c r="C313" s="138"/>
      <c r="D313" s="139"/>
      <c r="E313" s="140"/>
    </row>
    <row r="314">
      <c r="A314" s="136"/>
      <c r="B314" s="137"/>
      <c r="C314" s="138"/>
      <c r="D314" s="139"/>
      <c r="E314" s="140"/>
    </row>
    <row r="315">
      <c r="A315" s="136"/>
      <c r="B315" s="137"/>
      <c r="C315" s="138"/>
      <c r="D315" s="139"/>
      <c r="E315" s="140"/>
    </row>
    <row r="316">
      <c r="A316" s="136"/>
      <c r="B316" s="137"/>
      <c r="C316" s="138"/>
      <c r="D316" s="139"/>
      <c r="E316" s="140"/>
    </row>
    <row r="317">
      <c r="A317" s="136"/>
      <c r="B317" s="137"/>
      <c r="C317" s="138"/>
      <c r="D317" s="139"/>
      <c r="E317" s="140"/>
    </row>
    <row r="318">
      <c r="A318" s="136"/>
      <c r="B318" s="137"/>
      <c r="C318" s="138"/>
      <c r="D318" s="139"/>
      <c r="E318" s="140"/>
    </row>
    <row r="319">
      <c r="A319" s="136"/>
      <c r="B319" s="137"/>
      <c r="C319" s="138"/>
      <c r="D319" s="139"/>
      <c r="E319" s="140"/>
    </row>
    <row r="320">
      <c r="A320" s="136"/>
      <c r="B320" s="137"/>
      <c r="C320" s="138"/>
      <c r="D320" s="139"/>
      <c r="E320" s="140"/>
    </row>
    <row r="321">
      <c r="A321" s="136"/>
      <c r="B321" s="137"/>
      <c r="C321" s="138"/>
      <c r="D321" s="139"/>
      <c r="E321" s="140"/>
    </row>
    <row r="322">
      <c r="A322" s="136"/>
      <c r="B322" s="137"/>
      <c r="C322" s="138"/>
      <c r="D322" s="139"/>
      <c r="E322" s="140"/>
    </row>
    <row r="323">
      <c r="A323" s="136"/>
      <c r="B323" s="137"/>
      <c r="C323" s="138"/>
      <c r="D323" s="139"/>
      <c r="E323" s="140"/>
    </row>
    <row r="324">
      <c r="A324" s="136"/>
      <c r="B324" s="137"/>
      <c r="C324" s="138"/>
      <c r="D324" s="139"/>
      <c r="E324" s="140"/>
    </row>
    <row r="325">
      <c r="A325" s="136"/>
      <c r="B325" s="137"/>
      <c r="C325" s="138"/>
      <c r="D325" s="139"/>
      <c r="E325" s="140"/>
    </row>
    <row r="326">
      <c r="A326" s="136"/>
      <c r="B326" s="137"/>
      <c r="C326" s="138"/>
      <c r="D326" s="139"/>
      <c r="E326" s="140"/>
    </row>
    <row r="327">
      <c r="A327" s="136"/>
      <c r="B327" s="137"/>
      <c r="C327" s="138"/>
      <c r="D327" s="139"/>
      <c r="E327" s="140"/>
    </row>
    <row r="328">
      <c r="A328" s="136"/>
      <c r="B328" s="137"/>
      <c r="C328" s="138"/>
      <c r="D328" s="139"/>
      <c r="E328" s="140"/>
    </row>
    <row r="329">
      <c r="A329" s="136"/>
      <c r="B329" s="137"/>
      <c r="C329" s="138"/>
      <c r="D329" s="139"/>
      <c r="E329" s="140"/>
    </row>
    <row r="330">
      <c r="A330" s="136"/>
      <c r="B330" s="137"/>
      <c r="C330" s="138"/>
      <c r="D330" s="139"/>
      <c r="E330" s="140"/>
    </row>
    <row r="331">
      <c r="A331" s="136"/>
      <c r="B331" s="137"/>
      <c r="C331" s="138"/>
      <c r="D331" s="139"/>
      <c r="E331" s="140"/>
    </row>
    <row r="332">
      <c r="A332" s="136"/>
      <c r="B332" s="137"/>
      <c r="C332" s="138"/>
      <c r="D332" s="139"/>
      <c r="E332" s="140"/>
    </row>
    <row r="333">
      <c r="A333" s="136"/>
      <c r="B333" s="137"/>
      <c r="C333" s="138"/>
      <c r="D333" s="139"/>
      <c r="E333" s="140"/>
    </row>
    <row r="334">
      <c r="A334" s="136"/>
      <c r="B334" s="137"/>
      <c r="C334" s="138"/>
      <c r="D334" s="139"/>
      <c r="E334" s="140"/>
    </row>
    <row r="335">
      <c r="A335" s="136"/>
      <c r="B335" s="137"/>
      <c r="C335" s="138"/>
      <c r="D335" s="139"/>
      <c r="E335" s="140"/>
    </row>
    <row r="336">
      <c r="A336" s="136"/>
      <c r="B336" s="137"/>
      <c r="C336" s="138"/>
      <c r="D336" s="139"/>
      <c r="E336" s="140"/>
    </row>
    <row r="337">
      <c r="A337" s="136"/>
      <c r="B337" s="137"/>
      <c r="C337" s="138"/>
      <c r="D337" s="139"/>
      <c r="E337" s="140"/>
    </row>
    <row r="338">
      <c r="A338" s="136"/>
      <c r="B338" s="137"/>
      <c r="C338" s="138"/>
      <c r="D338" s="139"/>
      <c r="E338" s="140"/>
    </row>
    <row r="339">
      <c r="A339" s="136"/>
      <c r="B339" s="137"/>
      <c r="C339" s="138"/>
      <c r="D339" s="139"/>
      <c r="E339" s="140"/>
    </row>
    <row r="340">
      <c r="A340" s="136"/>
      <c r="B340" s="137"/>
      <c r="C340" s="138"/>
      <c r="D340" s="139"/>
      <c r="E340" s="140"/>
    </row>
    <row r="341">
      <c r="A341" s="136"/>
      <c r="B341" s="137"/>
      <c r="C341" s="138"/>
      <c r="D341" s="139"/>
      <c r="E341" s="140"/>
    </row>
    <row r="342">
      <c r="A342" s="136"/>
      <c r="B342" s="137"/>
      <c r="C342" s="138"/>
      <c r="D342" s="139"/>
      <c r="E342" s="140"/>
    </row>
    <row r="343">
      <c r="A343" s="136"/>
      <c r="B343" s="137"/>
      <c r="C343" s="138"/>
      <c r="D343" s="139"/>
      <c r="E343" s="140"/>
    </row>
    <row r="344">
      <c r="A344" s="136"/>
      <c r="B344" s="137"/>
      <c r="C344" s="138"/>
      <c r="D344" s="139"/>
      <c r="E344" s="140"/>
    </row>
    <row r="345">
      <c r="A345" s="136"/>
      <c r="B345" s="137"/>
      <c r="C345" s="138"/>
      <c r="D345" s="139"/>
      <c r="E345" s="140"/>
    </row>
    <row r="346">
      <c r="A346" s="136"/>
      <c r="B346" s="137"/>
      <c r="C346" s="138"/>
      <c r="D346" s="139"/>
      <c r="E346" s="140"/>
    </row>
    <row r="347">
      <c r="A347" s="136"/>
      <c r="B347" s="137"/>
      <c r="C347" s="138"/>
      <c r="D347" s="139"/>
      <c r="E347" s="140"/>
    </row>
    <row r="348">
      <c r="A348" s="136"/>
      <c r="B348" s="137"/>
      <c r="C348" s="138"/>
      <c r="D348" s="139"/>
      <c r="E348" s="140"/>
    </row>
    <row r="349">
      <c r="A349" s="136"/>
      <c r="B349" s="137"/>
      <c r="C349" s="138"/>
      <c r="D349" s="139"/>
      <c r="E349" s="140"/>
    </row>
    <row r="350">
      <c r="A350" s="136"/>
      <c r="B350" s="137"/>
      <c r="C350" s="138"/>
      <c r="D350" s="139"/>
      <c r="E350" s="140"/>
    </row>
    <row r="351">
      <c r="A351" s="136"/>
      <c r="B351" s="137"/>
      <c r="C351" s="138"/>
      <c r="D351" s="139"/>
      <c r="E351" s="140"/>
    </row>
    <row r="352">
      <c r="A352" s="136"/>
      <c r="B352" s="137"/>
      <c r="C352" s="138"/>
      <c r="D352" s="139"/>
      <c r="E352" s="140"/>
    </row>
    <row r="353">
      <c r="A353" s="136"/>
      <c r="B353" s="137"/>
      <c r="C353" s="138"/>
      <c r="D353" s="139"/>
      <c r="E353" s="140"/>
    </row>
    <row r="354">
      <c r="A354" s="136"/>
      <c r="B354" s="137"/>
      <c r="C354" s="138"/>
      <c r="D354" s="139"/>
      <c r="E354" s="140"/>
    </row>
    <row r="355">
      <c r="A355" s="136"/>
      <c r="B355" s="137"/>
      <c r="C355" s="138"/>
      <c r="D355" s="139"/>
      <c r="E355" s="140"/>
    </row>
    <row r="356">
      <c r="A356" s="136"/>
      <c r="B356" s="137"/>
      <c r="C356" s="138"/>
      <c r="D356" s="139"/>
      <c r="E356" s="140"/>
    </row>
    <row r="357">
      <c r="A357" s="136"/>
      <c r="B357" s="137"/>
      <c r="C357" s="138"/>
      <c r="D357" s="139"/>
      <c r="E357" s="140"/>
    </row>
    <row r="358">
      <c r="A358" s="136"/>
      <c r="B358" s="137"/>
      <c r="C358" s="138"/>
      <c r="D358" s="139"/>
      <c r="E358" s="140"/>
    </row>
    <row r="359">
      <c r="A359" s="136"/>
      <c r="B359" s="137"/>
      <c r="C359" s="138"/>
      <c r="D359" s="139"/>
      <c r="E359" s="140"/>
    </row>
    <row r="360">
      <c r="A360" s="136"/>
      <c r="B360" s="137"/>
      <c r="C360" s="138"/>
      <c r="D360" s="139"/>
      <c r="E360" s="140"/>
    </row>
    <row r="361">
      <c r="A361" s="136"/>
      <c r="B361" s="137"/>
      <c r="C361" s="138"/>
      <c r="D361" s="139"/>
      <c r="E361" s="140"/>
    </row>
    <row r="362">
      <c r="A362" s="136"/>
      <c r="B362" s="137"/>
      <c r="C362" s="138"/>
      <c r="D362" s="139"/>
      <c r="E362" s="140"/>
    </row>
    <row r="363">
      <c r="A363" s="136"/>
      <c r="B363" s="137"/>
      <c r="C363" s="138"/>
      <c r="D363" s="139"/>
      <c r="E363" s="140"/>
    </row>
    <row r="364">
      <c r="A364" s="136"/>
      <c r="B364" s="137"/>
      <c r="C364" s="138"/>
      <c r="D364" s="139"/>
      <c r="E364" s="140"/>
    </row>
    <row r="365">
      <c r="A365" s="136"/>
      <c r="B365" s="137"/>
      <c r="C365" s="138"/>
      <c r="D365" s="139"/>
      <c r="E365" s="140"/>
    </row>
    <row r="366">
      <c r="A366" s="136"/>
      <c r="B366" s="137"/>
      <c r="C366" s="138"/>
      <c r="D366" s="139"/>
      <c r="E366" s="140"/>
    </row>
    <row r="367">
      <c r="A367" s="136"/>
      <c r="B367" s="137"/>
      <c r="C367" s="138"/>
      <c r="D367" s="139"/>
      <c r="E367" s="140"/>
    </row>
    <row r="368">
      <c r="A368" s="136"/>
      <c r="B368" s="137"/>
      <c r="C368" s="138"/>
      <c r="D368" s="139"/>
      <c r="E368" s="140"/>
    </row>
    <row r="369">
      <c r="A369" s="136"/>
      <c r="B369" s="137"/>
      <c r="C369" s="138"/>
      <c r="D369" s="139"/>
      <c r="E369" s="140"/>
    </row>
    <row r="370">
      <c r="A370" s="136"/>
      <c r="B370" s="137"/>
      <c r="C370" s="138"/>
      <c r="D370" s="139"/>
      <c r="E370" s="140"/>
    </row>
    <row r="371">
      <c r="A371" s="136"/>
      <c r="B371" s="137"/>
      <c r="C371" s="138"/>
      <c r="D371" s="139"/>
      <c r="E371" s="140"/>
    </row>
    <row r="372">
      <c r="A372" s="136"/>
      <c r="B372" s="137"/>
      <c r="C372" s="138"/>
      <c r="D372" s="139"/>
      <c r="E372" s="140"/>
    </row>
    <row r="373">
      <c r="A373" s="136"/>
      <c r="B373" s="137"/>
      <c r="C373" s="138"/>
      <c r="D373" s="139"/>
      <c r="E373" s="140"/>
    </row>
    <row r="374">
      <c r="A374" s="136"/>
      <c r="B374" s="137"/>
      <c r="C374" s="138"/>
      <c r="D374" s="139"/>
      <c r="E374" s="140"/>
    </row>
    <row r="375">
      <c r="A375" s="136"/>
      <c r="B375" s="137"/>
      <c r="C375" s="138"/>
      <c r="D375" s="139"/>
      <c r="E375" s="140"/>
    </row>
    <row r="376">
      <c r="A376" s="136"/>
      <c r="B376" s="137"/>
      <c r="C376" s="138"/>
      <c r="D376" s="139"/>
      <c r="E376" s="140"/>
    </row>
    <row r="377">
      <c r="A377" s="136"/>
      <c r="B377" s="137"/>
      <c r="C377" s="138"/>
      <c r="D377" s="139"/>
      <c r="E377" s="140"/>
    </row>
    <row r="378">
      <c r="A378" s="136"/>
      <c r="B378" s="137"/>
      <c r="C378" s="138"/>
      <c r="D378" s="139"/>
      <c r="E378" s="140"/>
    </row>
    <row r="379">
      <c r="A379" s="136"/>
      <c r="B379" s="137"/>
      <c r="C379" s="138"/>
      <c r="D379" s="139"/>
      <c r="E379" s="140"/>
    </row>
    <row r="380">
      <c r="A380" s="136"/>
      <c r="B380" s="137"/>
      <c r="C380" s="138"/>
      <c r="D380" s="139"/>
      <c r="E380" s="140"/>
    </row>
    <row r="381">
      <c r="A381" s="136"/>
      <c r="B381" s="137"/>
      <c r="C381" s="138"/>
      <c r="D381" s="139"/>
      <c r="E381" s="140"/>
    </row>
    <row r="382">
      <c r="A382" s="136"/>
      <c r="B382" s="137"/>
      <c r="C382" s="138"/>
      <c r="D382" s="139"/>
      <c r="E382" s="140"/>
    </row>
    <row r="383">
      <c r="A383" s="136"/>
      <c r="B383" s="137"/>
      <c r="C383" s="138"/>
      <c r="D383" s="139"/>
      <c r="E383" s="140"/>
    </row>
    <row r="384">
      <c r="A384" s="136"/>
      <c r="B384" s="137"/>
      <c r="C384" s="138"/>
      <c r="D384" s="139"/>
      <c r="E384" s="140"/>
    </row>
    <row r="385">
      <c r="A385" s="136"/>
      <c r="B385" s="137"/>
      <c r="C385" s="138"/>
      <c r="D385" s="139"/>
      <c r="E385" s="140"/>
    </row>
    <row r="386">
      <c r="A386" s="136"/>
      <c r="B386" s="137"/>
      <c r="C386" s="138"/>
      <c r="D386" s="139"/>
      <c r="E386" s="140"/>
    </row>
    <row r="387">
      <c r="A387" s="136"/>
      <c r="B387" s="137"/>
      <c r="C387" s="138"/>
      <c r="D387" s="139"/>
      <c r="E387" s="140"/>
    </row>
    <row r="388">
      <c r="A388" s="136"/>
      <c r="B388" s="137"/>
      <c r="C388" s="138"/>
      <c r="D388" s="139"/>
      <c r="E388" s="140"/>
    </row>
    <row r="389">
      <c r="A389" s="136"/>
      <c r="B389" s="137"/>
      <c r="C389" s="138"/>
      <c r="D389" s="139"/>
      <c r="E389" s="140"/>
    </row>
    <row r="390">
      <c r="A390" s="136"/>
      <c r="B390" s="137"/>
      <c r="C390" s="138"/>
      <c r="D390" s="139"/>
      <c r="E390" s="140"/>
    </row>
    <row r="391">
      <c r="A391" s="136"/>
      <c r="B391" s="137"/>
      <c r="C391" s="138"/>
      <c r="D391" s="139"/>
      <c r="E391" s="140"/>
    </row>
    <row r="392">
      <c r="A392" s="136"/>
      <c r="B392" s="137"/>
      <c r="C392" s="138"/>
      <c r="D392" s="139"/>
      <c r="E392" s="140"/>
    </row>
    <row r="393">
      <c r="A393" s="136"/>
      <c r="B393" s="137"/>
      <c r="C393" s="138"/>
      <c r="D393" s="139"/>
      <c r="E393" s="140"/>
    </row>
    <row r="394">
      <c r="A394" s="136"/>
      <c r="B394" s="137"/>
      <c r="C394" s="138"/>
      <c r="D394" s="139"/>
      <c r="E394" s="140"/>
    </row>
    <row r="395">
      <c r="A395" s="136"/>
      <c r="B395" s="137"/>
      <c r="C395" s="138"/>
      <c r="D395" s="139"/>
      <c r="E395" s="140"/>
    </row>
    <row r="396">
      <c r="A396" s="136"/>
      <c r="B396" s="137"/>
      <c r="C396" s="138"/>
      <c r="D396" s="139"/>
      <c r="E396" s="140"/>
    </row>
    <row r="397">
      <c r="A397" s="136"/>
      <c r="B397" s="137"/>
      <c r="C397" s="138"/>
      <c r="D397" s="139"/>
      <c r="E397" s="140"/>
    </row>
    <row r="398">
      <c r="A398" s="136"/>
      <c r="B398" s="137"/>
      <c r="C398" s="138"/>
      <c r="D398" s="139"/>
      <c r="E398" s="140"/>
    </row>
    <row r="399">
      <c r="A399" s="136"/>
      <c r="B399" s="137"/>
      <c r="C399" s="138"/>
      <c r="D399" s="139"/>
      <c r="E399" s="140"/>
    </row>
    <row r="400">
      <c r="A400" s="136"/>
      <c r="B400" s="137"/>
      <c r="C400" s="138"/>
      <c r="D400" s="139"/>
      <c r="E400" s="140"/>
    </row>
    <row r="401">
      <c r="A401" s="136"/>
      <c r="B401" s="137"/>
      <c r="C401" s="138"/>
      <c r="D401" s="139"/>
      <c r="E401" s="140"/>
    </row>
    <row r="402">
      <c r="A402" s="136"/>
      <c r="B402" s="137"/>
      <c r="C402" s="138"/>
      <c r="D402" s="139"/>
      <c r="E402" s="140"/>
    </row>
    <row r="403">
      <c r="A403" s="136"/>
      <c r="B403" s="137"/>
      <c r="C403" s="138"/>
      <c r="D403" s="139"/>
      <c r="E403" s="140"/>
    </row>
    <row r="404">
      <c r="A404" s="136"/>
      <c r="B404" s="137"/>
      <c r="C404" s="138"/>
      <c r="D404" s="139"/>
      <c r="E404" s="140"/>
    </row>
    <row r="405">
      <c r="A405" s="136"/>
      <c r="B405" s="137"/>
      <c r="C405" s="138"/>
      <c r="D405" s="139"/>
      <c r="E405" s="140"/>
    </row>
    <row r="406">
      <c r="A406" s="136"/>
      <c r="B406" s="137"/>
      <c r="C406" s="138"/>
      <c r="D406" s="139"/>
      <c r="E406" s="140"/>
    </row>
    <row r="407">
      <c r="A407" s="136"/>
      <c r="B407" s="137"/>
      <c r="C407" s="138"/>
      <c r="D407" s="139"/>
      <c r="E407" s="140"/>
    </row>
    <row r="408">
      <c r="A408" s="136"/>
      <c r="B408" s="137"/>
      <c r="C408" s="138"/>
      <c r="D408" s="139"/>
      <c r="E408" s="140"/>
    </row>
    <row r="409">
      <c r="A409" s="136"/>
      <c r="B409" s="137"/>
      <c r="C409" s="138"/>
      <c r="D409" s="139"/>
      <c r="E409" s="140"/>
    </row>
    <row r="410">
      <c r="A410" s="136"/>
      <c r="B410" s="137"/>
      <c r="C410" s="138"/>
      <c r="D410" s="139"/>
      <c r="E410" s="140"/>
    </row>
    <row r="411">
      <c r="A411" s="136"/>
      <c r="B411" s="137"/>
      <c r="C411" s="138"/>
      <c r="D411" s="139"/>
      <c r="E411" s="140"/>
    </row>
    <row r="412">
      <c r="A412" s="136"/>
      <c r="B412" s="137"/>
      <c r="C412" s="138"/>
      <c r="D412" s="139"/>
      <c r="E412" s="140"/>
    </row>
    <row r="413">
      <c r="A413" s="136"/>
      <c r="B413" s="137"/>
      <c r="C413" s="138"/>
      <c r="D413" s="139"/>
      <c r="E413" s="140"/>
    </row>
    <row r="414">
      <c r="A414" s="136"/>
      <c r="B414" s="137"/>
      <c r="C414" s="138"/>
      <c r="D414" s="139"/>
      <c r="E414" s="140"/>
    </row>
    <row r="415">
      <c r="A415" s="136"/>
      <c r="B415" s="137"/>
      <c r="C415" s="138"/>
      <c r="D415" s="139"/>
      <c r="E415" s="140"/>
    </row>
    <row r="416">
      <c r="A416" s="136"/>
      <c r="B416" s="137"/>
      <c r="C416" s="138"/>
      <c r="D416" s="139"/>
      <c r="E416" s="140"/>
    </row>
    <row r="417">
      <c r="A417" s="136"/>
      <c r="B417" s="137"/>
      <c r="C417" s="138"/>
      <c r="D417" s="139"/>
      <c r="E417" s="140"/>
    </row>
    <row r="418">
      <c r="A418" s="136"/>
      <c r="B418" s="137"/>
      <c r="C418" s="138"/>
      <c r="D418" s="139"/>
      <c r="E418" s="140"/>
    </row>
    <row r="419">
      <c r="A419" s="136"/>
      <c r="B419" s="137"/>
      <c r="C419" s="138"/>
      <c r="D419" s="139"/>
      <c r="E419" s="140"/>
    </row>
    <row r="420">
      <c r="A420" s="136"/>
      <c r="B420" s="137"/>
      <c r="C420" s="138"/>
      <c r="D420" s="139"/>
      <c r="E420" s="140"/>
    </row>
    <row r="421">
      <c r="A421" s="136"/>
      <c r="B421" s="137"/>
      <c r="C421" s="138"/>
      <c r="D421" s="139"/>
      <c r="E421" s="140"/>
    </row>
    <row r="422">
      <c r="A422" s="136"/>
      <c r="B422" s="137"/>
      <c r="C422" s="138"/>
      <c r="D422" s="139"/>
      <c r="E422" s="140"/>
    </row>
    <row r="423">
      <c r="A423" s="136"/>
      <c r="B423" s="137"/>
      <c r="C423" s="138"/>
      <c r="D423" s="139"/>
      <c r="E423" s="140"/>
    </row>
    <row r="424">
      <c r="A424" s="136"/>
      <c r="B424" s="137"/>
      <c r="C424" s="138"/>
      <c r="D424" s="139"/>
      <c r="E424" s="140"/>
    </row>
    <row r="425">
      <c r="A425" s="136"/>
      <c r="B425" s="137"/>
      <c r="C425" s="138"/>
      <c r="D425" s="139"/>
      <c r="E425" s="140"/>
    </row>
    <row r="426">
      <c r="A426" s="136"/>
      <c r="B426" s="137"/>
      <c r="C426" s="138"/>
      <c r="D426" s="139"/>
      <c r="E426" s="140"/>
    </row>
    <row r="427">
      <c r="A427" s="136"/>
      <c r="B427" s="137"/>
      <c r="C427" s="138"/>
      <c r="D427" s="139"/>
      <c r="E427" s="140"/>
    </row>
    <row r="428">
      <c r="A428" s="136"/>
      <c r="B428" s="137"/>
      <c r="C428" s="138"/>
      <c r="D428" s="139"/>
      <c r="E428" s="140"/>
    </row>
    <row r="429">
      <c r="A429" s="136"/>
      <c r="B429" s="137"/>
      <c r="C429" s="138"/>
      <c r="D429" s="139"/>
      <c r="E429" s="140"/>
    </row>
    <row r="430">
      <c r="A430" s="136"/>
      <c r="B430" s="137"/>
      <c r="C430" s="138"/>
      <c r="D430" s="139"/>
      <c r="E430" s="140"/>
    </row>
    <row r="431">
      <c r="A431" s="136"/>
      <c r="B431" s="137"/>
      <c r="C431" s="138"/>
      <c r="D431" s="139"/>
      <c r="E431" s="140"/>
    </row>
    <row r="432">
      <c r="A432" s="136"/>
      <c r="B432" s="137"/>
      <c r="C432" s="138"/>
      <c r="D432" s="139"/>
      <c r="E432" s="140"/>
    </row>
    <row r="433">
      <c r="A433" s="136"/>
      <c r="B433" s="137"/>
      <c r="C433" s="138"/>
      <c r="D433" s="139"/>
      <c r="E433" s="140"/>
    </row>
    <row r="434">
      <c r="A434" s="136"/>
      <c r="B434" s="137"/>
      <c r="C434" s="138"/>
      <c r="D434" s="139"/>
      <c r="E434" s="140"/>
    </row>
    <row r="435">
      <c r="A435" s="136"/>
      <c r="B435" s="137"/>
      <c r="C435" s="138"/>
      <c r="D435" s="139"/>
      <c r="E435" s="140"/>
    </row>
    <row r="436">
      <c r="A436" s="136"/>
      <c r="B436" s="137"/>
      <c r="C436" s="138"/>
      <c r="D436" s="139"/>
      <c r="E436" s="140"/>
    </row>
    <row r="437">
      <c r="A437" s="136"/>
      <c r="B437" s="137"/>
      <c r="C437" s="138"/>
      <c r="D437" s="139"/>
      <c r="E437" s="140"/>
    </row>
    <row r="438">
      <c r="A438" s="136"/>
      <c r="B438" s="137"/>
      <c r="C438" s="138"/>
      <c r="D438" s="139"/>
      <c r="E438" s="140"/>
    </row>
    <row r="439">
      <c r="A439" s="136"/>
      <c r="B439" s="137"/>
      <c r="C439" s="138"/>
      <c r="D439" s="139"/>
      <c r="E439" s="140"/>
    </row>
    <row r="440">
      <c r="A440" s="136"/>
      <c r="B440" s="137"/>
      <c r="C440" s="138"/>
      <c r="D440" s="139"/>
      <c r="E440" s="140"/>
    </row>
    <row r="441">
      <c r="A441" s="136"/>
      <c r="B441" s="137"/>
      <c r="C441" s="138"/>
      <c r="D441" s="139"/>
      <c r="E441" s="140"/>
    </row>
    <row r="442">
      <c r="A442" s="136"/>
      <c r="B442" s="137"/>
      <c r="C442" s="138"/>
      <c r="D442" s="139"/>
      <c r="E442" s="140"/>
    </row>
    <row r="443">
      <c r="A443" s="136"/>
      <c r="B443" s="137"/>
      <c r="C443" s="138"/>
      <c r="D443" s="139"/>
      <c r="E443" s="140"/>
    </row>
    <row r="444">
      <c r="A444" s="136"/>
      <c r="B444" s="137"/>
      <c r="C444" s="138"/>
      <c r="D444" s="139"/>
      <c r="E444" s="140"/>
    </row>
    <row r="445">
      <c r="A445" s="136"/>
      <c r="B445" s="137"/>
      <c r="C445" s="138"/>
      <c r="D445" s="139"/>
      <c r="E445" s="140"/>
    </row>
    <row r="446">
      <c r="A446" s="136"/>
      <c r="B446" s="137"/>
      <c r="C446" s="138"/>
      <c r="D446" s="139"/>
      <c r="E446" s="140"/>
    </row>
    <row r="447">
      <c r="A447" s="136"/>
      <c r="B447" s="137"/>
      <c r="C447" s="138"/>
      <c r="D447" s="139"/>
      <c r="E447" s="140"/>
    </row>
    <row r="448">
      <c r="A448" s="136"/>
      <c r="B448" s="137"/>
      <c r="C448" s="138"/>
      <c r="D448" s="139"/>
      <c r="E448" s="140"/>
    </row>
    <row r="449">
      <c r="A449" s="136"/>
      <c r="B449" s="137"/>
      <c r="C449" s="138"/>
      <c r="D449" s="139"/>
      <c r="E449" s="140"/>
    </row>
    <row r="450">
      <c r="A450" s="136"/>
      <c r="B450" s="137"/>
      <c r="C450" s="138"/>
      <c r="D450" s="139"/>
      <c r="E450" s="140"/>
    </row>
    <row r="451">
      <c r="A451" s="136"/>
      <c r="B451" s="137"/>
      <c r="C451" s="138"/>
      <c r="D451" s="139"/>
      <c r="E451" s="140"/>
    </row>
    <row r="452">
      <c r="A452" s="136"/>
      <c r="B452" s="137"/>
      <c r="C452" s="138"/>
      <c r="D452" s="139"/>
      <c r="E452" s="140"/>
    </row>
    <row r="453">
      <c r="A453" s="136"/>
      <c r="B453" s="137"/>
      <c r="C453" s="138"/>
      <c r="D453" s="139"/>
      <c r="E453" s="140"/>
    </row>
    <row r="454">
      <c r="A454" s="136"/>
      <c r="B454" s="137"/>
      <c r="C454" s="138"/>
      <c r="D454" s="139"/>
      <c r="E454" s="140"/>
    </row>
    <row r="455">
      <c r="A455" s="136"/>
      <c r="B455" s="137"/>
      <c r="C455" s="138"/>
      <c r="D455" s="139"/>
      <c r="E455" s="140"/>
    </row>
    <row r="456">
      <c r="A456" s="136"/>
      <c r="B456" s="137"/>
      <c r="C456" s="138"/>
      <c r="D456" s="139"/>
      <c r="E456" s="140"/>
    </row>
    <row r="457">
      <c r="A457" s="136"/>
      <c r="B457" s="137"/>
      <c r="C457" s="138"/>
      <c r="D457" s="139"/>
      <c r="E457" s="140"/>
    </row>
    <row r="458">
      <c r="A458" s="136"/>
      <c r="B458" s="137"/>
      <c r="C458" s="138"/>
      <c r="D458" s="139"/>
      <c r="E458" s="140"/>
    </row>
    <row r="459">
      <c r="A459" s="136"/>
      <c r="B459" s="137"/>
      <c r="C459" s="138"/>
      <c r="D459" s="139"/>
      <c r="E459" s="140"/>
    </row>
    <row r="460">
      <c r="A460" s="136"/>
      <c r="B460" s="137"/>
      <c r="C460" s="138"/>
      <c r="D460" s="139"/>
      <c r="E460" s="140"/>
    </row>
    <row r="461">
      <c r="A461" s="136"/>
      <c r="B461" s="137"/>
      <c r="C461" s="138"/>
      <c r="D461" s="139"/>
      <c r="E461" s="140"/>
    </row>
    <row r="462">
      <c r="A462" s="136"/>
      <c r="B462" s="137"/>
      <c r="C462" s="138"/>
      <c r="D462" s="139"/>
      <c r="E462" s="140"/>
    </row>
    <row r="463">
      <c r="A463" s="136"/>
      <c r="B463" s="137"/>
      <c r="C463" s="138"/>
      <c r="D463" s="139"/>
      <c r="E463" s="140"/>
    </row>
    <row r="464">
      <c r="A464" s="136"/>
      <c r="B464" s="137"/>
      <c r="C464" s="138"/>
      <c r="D464" s="139"/>
      <c r="E464" s="140"/>
    </row>
    <row r="465">
      <c r="A465" s="136"/>
      <c r="B465" s="137"/>
      <c r="C465" s="138"/>
      <c r="D465" s="139"/>
      <c r="E465" s="140"/>
    </row>
    <row r="466">
      <c r="A466" s="136"/>
      <c r="B466" s="137"/>
      <c r="C466" s="138"/>
      <c r="D466" s="139"/>
      <c r="E466" s="140"/>
    </row>
    <row r="467">
      <c r="A467" s="136"/>
      <c r="B467" s="137"/>
      <c r="C467" s="138"/>
      <c r="D467" s="139"/>
      <c r="E467" s="140"/>
    </row>
    <row r="468">
      <c r="A468" s="136"/>
      <c r="B468" s="137"/>
      <c r="C468" s="138"/>
      <c r="D468" s="139"/>
      <c r="E468" s="140"/>
    </row>
    <row r="469">
      <c r="A469" s="136"/>
      <c r="B469" s="137"/>
      <c r="C469" s="138"/>
      <c r="D469" s="139"/>
      <c r="E469" s="140"/>
    </row>
    <row r="470">
      <c r="A470" s="136"/>
      <c r="B470" s="137"/>
      <c r="C470" s="138"/>
      <c r="D470" s="139"/>
      <c r="E470" s="140"/>
    </row>
    <row r="471">
      <c r="A471" s="136"/>
      <c r="B471" s="137"/>
      <c r="C471" s="138"/>
      <c r="D471" s="139"/>
      <c r="E471" s="140"/>
    </row>
    <row r="472">
      <c r="A472" s="136"/>
      <c r="B472" s="137"/>
      <c r="C472" s="138"/>
      <c r="D472" s="139"/>
      <c r="E472" s="140"/>
    </row>
    <row r="473">
      <c r="A473" s="136"/>
      <c r="B473" s="137"/>
      <c r="C473" s="138"/>
      <c r="D473" s="139"/>
      <c r="E473" s="140"/>
    </row>
    <row r="474">
      <c r="A474" s="136"/>
      <c r="B474" s="137"/>
      <c r="C474" s="138"/>
      <c r="D474" s="139"/>
      <c r="E474" s="140"/>
    </row>
    <row r="475">
      <c r="A475" s="136"/>
      <c r="B475" s="137"/>
      <c r="C475" s="138"/>
      <c r="D475" s="139"/>
      <c r="E475" s="140"/>
    </row>
    <row r="476">
      <c r="A476" s="136"/>
      <c r="B476" s="137"/>
      <c r="C476" s="138"/>
      <c r="D476" s="139"/>
      <c r="E476" s="140"/>
    </row>
    <row r="477">
      <c r="A477" s="136"/>
      <c r="B477" s="137"/>
      <c r="C477" s="138"/>
      <c r="D477" s="139"/>
      <c r="E477" s="140"/>
    </row>
    <row r="478">
      <c r="A478" s="136"/>
      <c r="B478" s="137"/>
      <c r="C478" s="138"/>
      <c r="D478" s="139"/>
      <c r="E478" s="140"/>
    </row>
    <row r="479">
      <c r="A479" s="136"/>
      <c r="B479" s="137"/>
      <c r="C479" s="138"/>
      <c r="D479" s="139"/>
      <c r="E479" s="140"/>
    </row>
    <row r="480">
      <c r="A480" s="136"/>
      <c r="B480" s="137"/>
      <c r="C480" s="138"/>
      <c r="D480" s="139"/>
      <c r="E480" s="140"/>
    </row>
    <row r="481">
      <c r="A481" s="136"/>
      <c r="B481" s="137"/>
      <c r="C481" s="138"/>
      <c r="D481" s="139"/>
      <c r="E481" s="140"/>
    </row>
    <row r="482">
      <c r="A482" s="136"/>
      <c r="B482" s="137"/>
      <c r="C482" s="138"/>
      <c r="D482" s="139"/>
      <c r="E482" s="140"/>
    </row>
    <row r="483">
      <c r="A483" s="136"/>
      <c r="B483" s="137"/>
      <c r="C483" s="138"/>
      <c r="D483" s="139"/>
      <c r="E483" s="140"/>
    </row>
    <row r="484">
      <c r="A484" s="136"/>
      <c r="B484" s="137"/>
      <c r="C484" s="138"/>
      <c r="D484" s="139"/>
      <c r="E484" s="140"/>
    </row>
    <row r="485">
      <c r="A485" s="136"/>
      <c r="B485" s="137"/>
      <c r="C485" s="138"/>
      <c r="D485" s="139"/>
      <c r="E485" s="140"/>
    </row>
    <row r="486">
      <c r="A486" s="136"/>
      <c r="B486" s="137"/>
      <c r="C486" s="138"/>
      <c r="D486" s="139"/>
      <c r="E486" s="140"/>
    </row>
    <row r="487">
      <c r="A487" s="136"/>
      <c r="B487" s="137"/>
      <c r="C487" s="138"/>
      <c r="D487" s="139"/>
      <c r="E487" s="140"/>
    </row>
    <row r="488">
      <c r="A488" s="136"/>
      <c r="B488" s="137"/>
      <c r="C488" s="138"/>
      <c r="D488" s="139"/>
      <c r="E488" s="140"/>
    </row>
    <row r="489">
      <c r="A489" s="136"/>
      <c r="B489" s="137"/>
      <c r="C489" s="138"/>
      <c r="D489" s="139"/>
      <c r="E489" s="140"/>
    </row>
    <row r="490">
      <c r="A490" s="136"/>
      <c r="B490" s="137"/>
      <c r="C490" s="138"/>
      <c r="D490" s="139"/>
      <c r="E490" s="140"/>
    </row>
    <row r="491">
      <c r="A491" s="136"/>
      <c r="B491" s="137"/>
      <c r="C491" s="138"/>
      <c r="D491" s="139"/>
      <c r="E491" s="140"/>
    </row>
    <row r="492">
      <c r="A492" s="136"/>
      <c r="B492" s="137"/>
      <c r="C492" s="138"/>
      <c r="D492" s="139"/>
      <c r="E492" s="140"/>
    </row>
    <row r="493">
      <c r="A493" s="136"/>
      <c r="B493" s="137"/>
      <c r="C493" s="138"/>
      <c r="D493" s="139"/>
      <c r="E493" s="140"/>
    </row>
    <row r="494">
      <c r="A494" s="136"/>
      <c r="B494" s="137"/>
      <c r="C494" s="138"/>
      <c r="D494" s="139"/>
      <c r="E494" s="140"/>
    </row>
    <row r="495">
      <c r="A495" s="136"/>
      <c r="B495" s="137"/>
      <c r="C495" s="138"/>
      <c r="D495" s="139"/>
      <c r="E495" s="140"/>
    </row>
    <row r="496">
      <c r="A496" s="136"/>
      <c r="B496" s="137"/>
      <c r="C496" s="138"/>
      <c r="D496" s="139"/>
      <c r="E496" s="140"/>
    </row>
    <row r="497">
      <c r="A497" s="136"/>
      <c r="B497" s="137"/>
      <c r="C497" s="138"/>
      <c r="D497" s="139"/>
      <c r="E497" s="140"/>
    </row>
    <row r="498">
      <c r="A498" s="136"/>
      <c r="B498" s="137"/>
      <c r="C498" s="138"/>
      <c r="D498" s="139"/>
      <c r="E498" s="140"/>
    </row>
    <row r="499">
      <c r="A499" s="136"/>
      <c r="B499" s="137"/>
      <c r="C499" s="138"/>
      <c r="D499" s="139"/>
      <c r="E499" s="140"/>
    </row>
    <row r="500">
      <c r="A500" s="136"/>
      <c r="B500" s="137"/>
      <c r="C500" s="138"/>
      <c r="D500" s="139"/>
      <c r="E500" s="140"/>
    </row>
    <row r="501">
      <c r="A501" s="136"/>
      <c r="B501" s="137"/>
      <c r="C501" s="138"/>
      <c r="D501" s="139"/>
      <c r="E501" s="140"/>
    </row>
    <row r="502">
      <c r="A502" s="136"/>
      <c r="B502" s="137"/>
      <c r="C502" s="138"/>
      <c r="D502" s="139"/>
      <c r="E502" s="140"/>
    </row>
    <row r="503">
      <c r="A503" s="136"/>
      <c r="B503" s="137"/>
      <c r="C503" s="138"/>
      <c r="D503" s="139"/>
      <c r="E503" s="140"/>
    </row>
    <row r="504">
      <c r="A504" s="136"/>
      <c r="B504" s="137"/>
      <c r="C504" s="138"/>
      <c r="D504" s="139"/>
      <c r="E504" s="140"/>
    </row>
    <row r="505">
      <c r="A505" s="136"/>
      <c r="B505" s="137"/>
      <c r="C505" s="138"/>
      <c r="D505" s="139"/>
      <c r="E505" s="140"/>
    </row>
    <row r="506">
      <c r="A506" s="136"/>
      <c r="B506" s="137"/>
      <c r="C506" s="138"/>
      <c r="D506" s="139"/>
      <c r="E506" s="140"/>
    </row>
    <row r="507">
      <c r="A507" s="136"/>
      <c r="B507" s="137"/>
      <c r="C507" s="138"/>
      <c r="D507" s="139"/>
      <c r="E507" s="140"/>
    </row>
    <row r="508">
      <c r="A508" s="136"/>
      <c r="B508" s="137"/>
      <c r="C508" s="138"/>
      <c r="D508" s="139"/>
      <c r="E508" s="140"/>
    </row>
    <row r="509">
      <c r="A509" s="136"/>
      <c r="B509" s="137"/>
      <c r="C509" s="138"/>
      <c r="D509" s="139"/>
      <c r="E509" s="140"/>
    </row>
    <row r="510">
      <c r="A510" s="136"/>
      <c r="B510" s="137"/>
      <c r="C510" s="138"/>
      <c r="D510" s="139"/>
      <c r="E510" s="140"/>
    </row>
    <row r="511">
      <c r="A511" s="136"/>
      <c r="B511" s="137"/>
      <c r="C511" s="138"/>
      <c r="D511" s="139"/>
      <c r="E511" s="140"/>
    </row>
    <row r="512">
      <c r="A512" s="136"/>
      <c r="B512" s="137"/>
      <c r="C512" s="138"/>
      <c r="D512" s="139"/>
      <c r="E512" s="140"/>
    </row>
    <row r="513">
      <c r="A513" s="136"/>
      <c r="B513" s="137"/>
      <c r="C513" s="138"/>
      <c r="D513" s="139"/>
      <c r="E513" s="140"/>
    </row>
    <row r="514">
      <c r="A514" s="136"/>
      <c r="B514" s="137"/>
      <c r="C514" s="138"/>
      <c r="D514" s="139"/>
      <c r="E514" s="140"/>
    </row>
    <row r="515">
      <c r="A515" s="136"/>
      <c r="B515" s="137"/>
      <c r="C515" s="138"/>
      <c r="D515" s="139"/>
      <c r="E515" s="140"/>
    </row>
    <row r="516">
      <c r="A516" s="136"/>
      <c r="B516" s="137"/>
      <c r="C516" s="138"/>
      <c r="D516" s="139"/>
      <c r="E516" s="140"/>
    </row>
    <row r="517">
      <c r="A517" s="136"/>
      <c r="B517" s="137"/>
      <c r="C517" s="138"/>
      <c r="D517" s="139"/>
      <c r="E517" s="140"/>
    </row>
    <row r="518">
      <c r="A518" s="136"/>
      <c r="B518" s="137"/>
      <c r="C518" s="138"/>
      <c r="D518" s="139"/>
      <c r="E518" s="140"/>
    </row>
    <row r="519">
      <c r="A519" s="136"/>
      <c r="B519" s="137"/>
      <c r="C519" s="138"/>
      <c r="D519" s="139"/>
      <c r="E519" s="140"/>
    </row>
    <row r="520">
      <c r="A520" s="136"/>
      <c r="B520" s="137"/>
      <c r="C520" s="138"/>
      <c r="D520" s="139"/>
      <c r="E520" s="140"/>
    </row>
    <row r="521">
      <c r="A521" s="136"/>
      <c r="B521" s="137"/>
      <c r="C521" s="138"/>
      <c r="D521" s="139"/>
      <c r="E521" s="140"/>
    </row>
    <row r="522">
      <c r="A522" s="136"/>
      <c r="B522" s="137"/>
      <c r="C522" s="138"/>
      <c r="D522" s="139"/>
      <c r="E522" s="140"/>
    </row>
    <row r="523">
      <c r="A523" s="136"/>
      <c r="B523" s="137"/>
      <c r="C523" s="138"/>
      <c r="D523" s="139"/>
      <c r="E523" s="140"/>
    </row>
    <row r="524">
      <c r="A524" s="136"/>
      <c r="B524" s="137"/>
      <c r="C524" s="138"/>
      <c r="D524" s="139"/>
      <c r="E524" s="140"/>
    </row>
    <row r="525">
      <c r="A525" s="136"/>
      <c r="B525" s="137"/>
      <c r="C525" s="138"/>
      <c r="D525" s="139"/>
      <c r="E525" s="140"/>
    </row>
    <row r="526">
      <c r="A526" s="136"/>
      <c r="B526" s="137"/>
      <c r="C526" s="138"/>
      <c r="D526" s="139"/>
      <c r="E526" s="140"/>
    </row>
    <row r="527">
      <c r="A527" s="136"/>
      <c r="B527" s="137"/>
      <c r="C527" s="138"/>
      <c r="D527" s="139"/>
      <c r="E527" s="140"/>
    </row>
    <row r="528">
      <c r="A528" s="136"/>
      <c r="B528" s="137"/>
      <c r="C528" s="138"/>
      <c r="D528" s="139"/>
      <c r="E528" s="140"/>
    </row>
    <row r="529">
      <c r="A529" s="136"/>
      <c r="B529" s="137"/>
      <c r="C529" s="138"/>
      <c r="D529" s="139"/>
      <c r="E529" s="140"/>
    </row>
    <row r="530">
      <c r="A530" s="136"/>
      <c r="B530" s="137"/>
      <c r="C530" s="138"/>
      <c r="D530" s="139"/>
      <c r="E530" s="140"/>
    </row>
    <row r="531">
      <c r="A531" s="136"/>
      <c r="B531" s="137"/>
      <c r="C531" s="138"/>
      <c r="D531" s="139"/>
      <c r="E531" s="140"/>
    </row>
    <row r="532">
      <c r="A532" s="136"/>
      <c r="B532" s="137"/>
      <c r="C532" s="138"/>
      <c r="D532" s="139"/>
      <c r="E532" s="140"/>
    </row>
    <row r="533">
      <c r="A533" s="136"/>
      <c r="B533" s="137"/>
      <c r="C533" s="138"/>
      <c r="D533" s="139"/>
      <c r="E533" s="140"/>
    </row>
    <row r="534">
      <c r="A534" s="136"/>
      <c r="B534" s="137"/>
      <c r="C534" s="138"/>
      <c r="D534" s="139"/>
      <c r="E534" s="140"/>
    </row>
    <row r="535">
      <c r="A535" s="136"/>
      <c r="B535" s="137"/>
      <c r="C535" s="138"/>
      <c r="D535" s="139"/>
      <c r="E535" s="140"/>
    </row>
    <row r="536">
      <c r="A536" s="136"/>
      <c r="B536" s="137"/>
      <c r="C536" s="138"/>
      <c r="D536" s="139"/>
      <c r="E536" s="140"/>
    </row>
    <row r="537">
      <c r="A537" s="136"/>
      <c r="B537" s="137"/>
      <c r="C537" s="138"/>
      <c r="D537" s="139"/>
      <c r="E537" s="140"/>
    </row>
    <row r="538">
      <c r="A538" s="136"/>
      <c r="B538" s="137"/>
      <c r="C538" s="138"/>
      <c r="D538" s="139"/>
      <c r="E538" s="140"/>
    </row>
    <row r="539">
      <c r="A539" s="136"/>
      <c r="B539" s="137"/>
      <c r="C539" s="138"/>
      <c r="D539" s="139"/>
      <c r="E539" s="140"/>
    </row>
    <row r="540">
      <c r="A540" s="136"/>
      <c r="B540" s="137"/>
      <c r="C540" s="138"/>
      <c r="D540" s="139"/>
      <c r="E540" s="140"/>
    </row>
    <row r="541">
      <c r="A541" s="136"/>
      <c r="B541" s="137"/>
      <c r="C541" s="138"/>
      <c r="D541" s="139"/>
      <c r="E541" s="140"/>
    </row>
    <row r="542">
      <c r="A542" s="136"/>
      <c r="B542" s="137"/>
      <c r="C542" s="138"/>
      <c r="D542" s="139"/>
      <c r="E542" s="140"/>
    </row>
    <row r="543">
      <c r="A543" s="136"/>
      <c r="B543" s="137"/>
      <c r="C543" s="138"/>
      <c r="D543" s="139"/>
      <c r="E543" s="140"/>
    </row>
    <row r="544">
      <c r="A544" s="136"/>
      <c r="B544" s="137"/>
      <c r="C544" s="138"/>
      <c r="D544" s="139"/>
      <c r="E544" s="140"/>
    </row>
    <row r="545">
      <c r="A545" s="136"/>
      <c r="B545" s="137"/>
      <c r="C545" s="138"/>
      <c r="D545" s="139"/>
      <c r="E545" s="140"/>
    </row>
    <row r="546">
      <c r="A546" s="136"/>
      <c r="B546" s="137"/>
      <c r="C546" s="138"/>
      <c r="D546" s="139"/>
      <c r="E546" s="140"/>
    </row>
    <row r="547">
      <c r="A547" s="136"/>
      <c r="B547" s="137"/>
      <c r="C547" s="138"/>
      <c r="D547" s="139"/>
      <c r="E547" s="140"/>
    </row>
    <row r="548">
      <c r="A548" s="136"/>
      <c r="B548" s="137"/>
      <c r="C548" s="138"/>
      <c r="D548" s="139"/>
      <c r="E548" s="140"/>
    </row>
    <row r="549">
      <c r="A549" s="136"/>
      <c r="B549" s="137"/>
      <c r="C549" s="138"/>
      <c r="D549" s="139"/>
      <c r="E549" s="140"/>
    </row>
    <row r="550">
      <c r="A550" s="136"/>
      <c r="B550" s="137"/>
      <c r="C550" s="138"/>
      <c r="D550" s="139"/>
      <c r="E550" s="140"/>
    </row>
    <row r="551">
      <c r="A551" s="136"/>
      <c r="B551" s="137"/>
      <c r="C551" s="138"/>
      <c r="D551" s="139"/>
      <c r="E551" s="140"/>
    </row>
    <row r="552">
      <c r="A552" s="136"/>
      <c r="B552" s="137"/>
      <c r="C552" s="138"/>
      <c r="D552" s="139"/>
      <c r="E552" s="140"/>
    </row>
    <row r="553">
      <c r="A553" s="136"/>
      <c r="B553" s="137"/>
      <c r="C553" s="138"/>
      <c r="D553" s="139"/>
      <c r="E553" s="140"/>
    </row>
    <row r="554">
      <c r="A554" s="136"/>
      <c r="B554" s="137"/>
      <c r="C554" s="138"/>
      <c r="D554" s="139"/>
      <c r="E554" s="140"/>
    </row>
    <row r="555">
      <c r="A555" s="136"/>
      <c r="B555" s="137"/>
      <c r="C555" s="138"/>
      <c r="D555" s="139"/>
      <c r="E555" s="140"/>
    </row>
    <row r="556">
      <c r="A556" s="136"/>
      <c r="B556" s="137"/>
      <c r="C556" s="138"/>
      <c r="D556" s="139"/>
      <c r="E556" s="140"/>
    </row>
    <row r="557">
      <c r="A557" s="136"/>
      <c r="B557" s="137"/>
      <c r="C557" s="138"/>
      <c r="D557" s="139"/>
      <c r="E557" s="140"/>
    </row>
    <row r="558">
      <c r="A558" s="136"/>
      <c r="B558" s="137"/>
      <c r="C558" s="138"/>
      <c r="D558" s="139"/>
      <c r="E558" s="140"/>
    </row>
    <row r="559">
      <c r="A559" s="136"/>
      <c r="B559" s="137"/>
      <c r="C559" s="138"/>
      <c r="D559" s="139"/>
      <c r="E559" s="140"/>
    </row>
    <row r="560">
      <c r="A560" s="136"/>
      <c r="B560" s="137"/>
      <c r="C560" s="138"/>
      <c r="D560" s="139"/>
      <c r="E560" s="140"/>
    </row>
    <row r="561">
      <c r="A561" s="136"/>
      <c r="B561" s="137"/>
      <c r="C561" s="138"/>
      <c r="D561" s="139"/>
      <c r="E561" s="140"/>
    </row>
    <row r="562">
      <c r="A562" s="136"/>
      <c r="B562" s="137"/>
      <c r="C562" s="138"/>
      <c r="D562" s="139"/>
      <c r="E562" s="140"/>
    </row>
    <row r="563">
      <c r="A563" s="136"/>
      <c r="B563" s="137"/>
      <c r="C563" s="138"/>
      <c r="D563" s="139"/>
      <c r="E563" s="140"/>
    </row>
    <row r="564">
      <c r="A564" s="136"/>
      <c r="B564" s="137"/>
      <c r="C564" s="138"/>
      <c r="D564" s="139"/>
      <c r="E564" s="140"/>
    </row>
    <row r="565">
      <c r="A565" s="136"/>
      <c r="B565" s="137"/>
      <c r="C565" s="138"/>
      <c r="D565" s="139"/>
      <c r="E565" s="140"/>
    </row>
    <row r="566">
      <c r="A566" s="136"/>
      <c r="B566" s="137"/>
      <c r="C566" s="138"/>
      <c r="D566" s="139"/>
      <c r="E566" s="140"/>
    </row>
    <row r="567">
      <c r="A567" s="136"/>
      <c r="B567" s="137"/>
      <c r="C567" s="138"/>
      <c r="D567" s="139"/>
      <c r="E567" s="140"/>
    </row>
    <row r="568">
      <c r="A568" s="136"/>
      <c r="B568" s="137"/>
      <c r="C568" s="138"/>
      <c r="D568" s="139"/>
      <c r="E568" s="140"/>
    </row>
    <row r="569">
      <c r="A569" s="136"/>
      <c r="B569" s="137"/>
      <c r="C569" s="138"/>
      <c r="D569" s="139"/>
      <c r="E569" s="140"/>
    </row>
    <row r="570">
      <c r="A570" s="136"/>
      <c r="B570" s="137"/>
      <c r="C570" s="138"/>
      <c r="D570" s="139"/>
      <c r="E570" s="140"/>
    </row>
    <row r="571">
      <c r="A571" s="136"/>
      <c r="B571" s="137"/>
      <c r="C571" s="138"/>
      <c r="D571" s="139"/>
      <c r="E571" s="140"/>
    </row>
    <row r="572">
      <c r="A572" s="136"/>
      <c r="B572" s="137"/>
      <c r="C572" s="138"/>
      <c r="D572" s="139"/>
      <c r="E572" s="140"/>
    </row>
    <row r="573">
      <c r="A573" s="136"/>
      <c r="B573" s="137"/>
      <c r="C573" s="138"/>
      <c r="D573" s="139"/>
      <c r="E573" s="140"/>
    </row>
    <row r="574">
      <c r="A574" s="136"/>
      <c r="B574" s="137"/>
      <c r="C574" s="138"/>
      <c r="D574" s="139"/>
      <c r="E574" s="140"/>
    </row>
    <row r="575">
      <c r="A575" s="136"/>
      <c r="B575" s="137"/>
      <c r="C575" s="138"/>
      <c r="D575" s="139"/>
      <c r="E575" s="140"/>
    </row>
    <row r="576">
      <c r="A576" s="136"/>
      <c r="B576" s="137"/>
      <c r="C576" s="138"/>
      <c r="D576" s="139"/>
      <c r="E576" s="140"/>
    </row>
    <row r="577">
      <c r="A577" s="136"/>
      <c r="B577" s="137"/>
      <c r="C577" s="138"/>
      <c r="D577" s="139"/>
      <c r="E577" s="140"/>
    </row>
    <row r="578">
      <c r="A578" s="136"/>
      <c r="B578" s="137"/>
      <c r="C578" s="138"/>
      <c r="D578" s="139"/>
      <c r="E578" s="140"/>
    </row>
    <row r="579">
      <c r="A579" s="136"/>
      <c r="B579" s="137"/>
      <c r="C579" s="138"/>
      <c r="D579" s="139"/>
      <c r="E579" s="140"/>
    </row>
    <row r="580">
      <c r="A580" s="136"/>
      <c r="B580" s="137"/>
      <c r="C580" s="138"/>
      <c r="D580" s="139"/>
      <c r="E580" s="140"/>
    </row>
    <row r="581">
      <c r="A581" s="136"/>
      <c r="B581" s="137"/>
      <c r="C581" s="138"/>
      <c r="D581" s="139"/>
      <c r="E581" s="140"/>
    </row>
    <row r="582">
      <c r="A582" s="136"/>
      <c r="B582" s="137"/>
      <c r="C582" s="138"/>
      <c r="D582" s="139"/>
      <c r="E582" s="140"/>
    </row>
    <row r="583">
      <c r="A583" s="136"/>
      <c r="B583" s="137"/>
      <c r="C583" s="138"/>
      <c r="D583" s="139"/>
      <c r="E583" s="140"/>
    </row>
    <row r="584">
      <c r="A584" s="136"/>
      <c r="B584" s="137"/>
      <c r="C584" s="138"/>
      <c r="D584" s="139"/>
      <c r="E584" s="140"/>
    </row>
    <row r="585">
      <c r="A585" s="136"/>
      <c r="B585" s="137"/>
      <c r="C585" s="138"/>
      <c r="D585" s="139"/>
      <c r="E585" s="140"/>
    </row>
    <row r="586">
      <c r="A586" s="136"/>
      <c r="B586" s="137"/>
      <c r="C586" s="138"/>
      <c r="D586" s="139"/>
      <c r="E586" s="140"/>
    </row>
    <row r="587">
      <c r="A587" s="136"/>
      <c r="B587" s="137"/>
      <c r="C587" s="138"/>
      <c r="D587" s="139"/>
      <c r="E587" s="140"/>
    </row>
    <row r="588">
      <c r="A588" s="136"/>
      <c r="B588" s="137"/>
      <c r="C588" s="138"/>
      <c r="D588" s="139"/>
      <c r="E588" s="140"/>
    </row>
    <row r="589">
      <c r="A589" s="136"/>
      <c r="B589" s="137"/>
      <c r="C589" s="138"/>
      <c r="D589" s="139"/>
      <c r="E589" s="140"/>
    </row>
    <row r="590">
      <c r="A590" s="136"/>
      <c r="B590" s="137"/>
      <c r="C590" s="138"/>
      <c r="D590" s="139"/>
      <c r="E590" s="140"/>
    </row>
    <row r="591">
      <c r="A591" s="136"/>
      <c r="B591" s="137"/>
      <c r="C591" s="138"/>
      <c r="D591" s="139"/>
      <c r="E591" s="140"/>
    </row>
    <row r="592">
      <c r="A592" s="136"/>
      <c r="B592" s="137"/>
      <c r="C592" s="138"/>
      <c r="D592" s="139"/>
      <c r="E592" s="140"/>
    </row>
    <row r="593">
      <c r="A593" s="136"/>
      <c r="B593" s="137"/>
      <c r="C593" s="138"/>
      <c r="D593" s="139"/>
      <c r="E593" s="140"/>
    </row>
    <row r="594">
      <c r="A594" s="136"/>
      <c r="B594" s="137"/>
      <c r="C594" s="138"/>
      <c r="D594" s="139"/>
      <c r="E594" s="140"/>
    </row>
    <row r="595">
      <c r="A595" s="136"/>
      <c r="B595" s="137"/>
      <c r="C595" s="138"/>
      <c r="D595" s="139"/>
      <c r="E595" s="140"/>
    </row>
    <row r="596">
      <c r="A596" s="136"/>
      <c r="B596" s="137"/>
      <c r="C596" s="138"/>
      <c r="D596" s="139"/>
      <c r="E596" s="140"/>
    </row>
    <row r="597">
      <c r="A597" s="136"/>
      <c r="B597" s="137"/>
      <c r="C597" s="138"/>
      <c r="D597" s="139"/>
      <c r="E597" s="140"/>
    </row>
    <row r="598">
      <c r="A598" s="136"/>
      <c r="B598" s="137"/>
      <c r="C598" s="138"/>
      <c r="D598" s="139"/>
      <c r="E598" s="140"/>
    </row>
    <row r="599">
      <c r="A599" s="136"/>
      <c r="B599" s="137"/>
      <c r="C599" s="138"/>
      <c r="D599" s="139"/>
      <c r="E599" s="140"/>
    </row>
    <row r="600">
      <c r="A600" s="136"/>
      <c r="B600" s="137"/>
      <c r="C600" s="138"/>
      <c r="D600" s="139"/>
      <c r="E600" s="140"/>
    </row>
    <row r="601">
      <c r="A601" s="136"/>
      <c r="B601" s="137"/>
      <c r="C601" s="138"/>
      <c r="D601" s="139"/>
      <c r="E601" s="140"/>
    </row>
    <row r="602">
      <c r="A602" s="136"/>
      <c r="B602" s="137"/>
      <c r="C602" s="138"/>
      <c r="D602" s="139"/>
      <c r="E602" s="140"/>
    </row>
    <row r="603">
      <c r="A603" s="136"/>
      <c r="B603" s="137"/>
      <c r="C603" s="138"/>
      <c r="D603" s="139"/>
      <c r="E603" s="140"/>
    </row>
    <row r="604">
      <c r="A604" s="136"/>
      <c r="B604" s="137"/>
      <c r="C604" s="138"/>
      <c r="D604" s="139"/>
      <c r="E604" s="140"/>
    </row>
    <row r="605">
      <c r="A605" s="136"/>
      <c r="B605" s="137"/>
      <c r="C605" s="138"/>
      <c r="D605" s="139"/>
      <c r="E605" s="140"/>
    </row>
    <row r="606">
      <c r="A606" s="136"/>
      <c r="B606" s="137"/>
      <c r="C606" s="138"/>
      <c r="D606" s="139"/>
      <c r="E606" s="140"/>
    </row>
    <row r="607">
      <c r="A607" s="136"/>
      <c r="B607" s="137"/>
      <c r="C607" s="138"/>
      <c r="D607" s="139"/>
      <c r="E607" s="140"/>
    </row>
    <row r="608">
      <c r="A608" s="136"/>
      <c r="B608" s="137"/>
      <c r="C608" s="138"/>
      <c r="D608" s="139"/>
      <c r="E608" s="140"/>
    </row>
    <row r="609">
      <c r="A609" s="136"/>
      <c r="B609" s="137"/>
      <c r="C609" s="138"/>
      <c r="D609" s="139"/>
      <c r="E609" s="140"/>
    </row>
    <row r="610">
      <c r="A610" s="136"/>
      <c r="B610" s="137"/>
      <c r="C610" s="138"/>
      <c r="D610" s="139"/>
      <c r="E610" s="140"/>
    </row>
    <row r="611">
      <c r="A611" s="136"/>
      <c r="B611" s="137"/>
      <c r="C611" s="138"/>
      <c r="D611" s="139"/>
      <c r="E611" s="140"/>
    </row>
    <row r="612">
      <c r="A612" s="136"/>
      <c r="B612" s="137"/>
      <c r="C612" s="138"/>
      <c r="D612" s="139"/>
      <c r="E612" s="140"/>
    </row>
    <row r="613">
      <c r="A613" s="136"/>
      <c r="B613" s="137"/>
      <c r="C613" s="138"/>
      <c r="D613" s="139"/>
      <c r="E613" s="140"/>
    </row>
    <row r="614">
      <c r="A614" s="136"/>
      <c r="B614" s="137"/>
      <c r="C614" s="138"/>
      <c r="D614" s="139"/>
      <c r="E614" s="140"/>
    </row>
    <row r="615">
      <c r="A615" s="136"/>
      <c r="B615" s="137"/>
      <c r="C615" s="138"/>
      <c r="D615" s="139"/>
      <c r="E615" s="140"/>
    </row>
    <row r="616">
      <c r="A616" s="136"/>
      <c r="B616" s="137"/>
      <c r="C616" s="138"/>
      <c r="D616" s="139"/>
      <c r="E616" s="140"/>
    </row>
    <row r="617">
      <c r="A617" s="136"/>
      <c r="B617" s="137"/>
      <c r="C617" s="138"/>
      <c r="D617" s="139"/>
      <c r="E617" s="140"/>
    </row>
    <row r="618">
      <c r="A618" s="136"/>
      <c r="B618" s="137"/>
      <c r="C618" s="138"/>
      <c r="D618" s="139"/>
      <c r="E618" s="140"/>
    </row>
    <row r="619">
      <c r="A619" s="136"/>
      <c r="B619" s="137"/>
      <c r="C619" s="138"/>
      <c r="D619" s="139"/>
      <c r="E619" s="140"/>
    </row>
    <row r="620">
      <c r="A620" s="136"/>
      <c r="B620" s="137"/>
      <c r="C620" s="138"/>
      <c r="D620" s="139"/>
      <c r="E620" s="140"/>
    </row>
    <row r="621">
      <c r="A621" s="136"/>
      <c r="B621" s="137"/>
      <c r="C621" s="138"/>
      <c r="D621" s="139"/>
      <c r="E621" s="140"/>
    </row>
    <row r="622">
      <c r="A622" s="136"/>
      <c r="B622" s="137"/>
      <c r="C622" s="138"/>
      <c r="D622" s="139"/>
      <c r="E622" s="140"/>
    </row>
    <row r="623">
      <c r="A623" s="136"/>
      <c r="B623" s="137"/>
      <c r="C623" s="138"/>
      <c r="D623" s="139"/>
      <c r="E623" s="140"/>
    </row>
    <row r="624">
      <c r="A624" s="136"/>
      <c r="B624" s="137"/>
      <c r="C624" s="138"/>
      <c r="D624" s="139"/>
      <c r="E624" s="140"/>
    </row>
    <row r="625">
      <c r="A625" s="136"/>
      <c r="B625" s="137"/>
      <c r="C625" s="138"/>
      <c r="D625" s="139"/>
      <c r="E625" s="140"/>
    </row>
    <row r="626">
      <c r="A626" s="136"/>
      <c r="B626" s="137"/>
      <c r="C626" s="138"/>
      <c r="D626" s="139"/>
      <c r="E626" s="140"/>
    </row>
    <row r="627">
      <c r="A627" s="136"/>
      <c r="B627" s="137"/>
      <c r="C627" s="138"/>
      <c r="D627" s="139"/>
      <c r="E627" s="140"/>
    </row>
    <row r="628">
      <c r="A628" s="136"/>
      <c r="B628" s="137"/>
      <c r="C628" s="138"/>
      <c r="D628" s="139"/>
      <c r="E628" s="140"/>
    </row>
    <row r="629">
      <c r="A629" s="136"/>
      <c r="B629" s="137"/>
      <c r="C629" s="138"/>
      <c r="D629" s="139"/>
      <c r="E629" s="140"/>
    </row>
    <row r="630">
      <c r="A630" s="136"/>
      <c r="B630" s="137"/>
      <c r="C630" s="138"/>
      <c r="D630" s="139"/>
      <c r="E630" s="140"/>
    </row>
    <row r="631">
      <c r="A631" s="136"/>
      <c r="B631" s="137"/>
      <c r="C631" s="138"/>
      <c r="D631" s="139"/>
      <c r="E631" s="140"/>
    </row>
    <row r="632">
      <c r="A632" s="136"/>
      <c r="B632" s="137"/>
      <c r="C632" s="138"/>
      <c r="D632" s="139"/>
      <c r="E632" s="140"/>
    </row>
    <row r="633">
      <c r="A633" s="136"/>
      <c r="B633" s="137"/>
      <c r="C633" s="138"/>
      <c r="D633" s="139"/>
      <c r="E633" s="140"/>
    </row>
    <row r="634">
      <c r="A634" s="136"/>
      <c r="B634" s="137"/>
      <c r="C634" s="138"/>
      <c r="D634" s="139"/>
      <c r="E634" s="140"/>
    </row>
    <row r="635">
      <c r="A635" s="136"/>
      <c r="B635" s="137"/>
      <c r="C635" s="138"/>
      <c r="D635" s="139"/>
      <c r="E635" s="140"/>
    </row>
    <row r="636">
      <c r="A636" s="136"/>
      <c r="B636" s="137"/>
      <c r="C636" s="138"/>
      <c r="D636" s="139"/>
      <c r="E636" s="140"/>
    </row>
    <row r="637">
      <c r="A637" s="136"/>
      <c r="B637" s="137"/>
      <c r="C637" s="138"/>
      <c r="D637" s="139"/>
      <c r="E637" s="140"/>
    </row>
    <row r="638">
      <c r="A638" s="136"/>
      <c r="B638" s="137"/>
      <c r="C638" s="138"/>
      <c r="D638" s="139"/>
      <c r="E638" s="140"/>
    </row>
    <row r="639">
      <c r="A639" s="136"/>
      <c r="B639" s="137"/>
      <c r="C639" s="138"/>
      <c r="D639" s="139"/>
      <c r="E639" s="140"/>
    </row>
    <row r="640">
      <c r="A640" s="136"/>
      <c r="B640" s="137"/>
      <c r="C640" s="138"/>
      <c r="D640" s="139"/>
      <c r="E640" s="140"/>
    </row>
    <row r="641">
      <c r="A641" s="136"/>
      <c r="B641" s="137"/>
      <c r="C641" s="138"/>
      <c r="D641" s="139"/>
      <c r="E641" s="140"/>
    </row>
    <row r="642">
      <c r="A642" s="136"/>
      <c r="B642" s="137"/>
      <c r="C642" s="138"/>
      <c r="D642" s="139"/>
      <c r="E642" s="140"/>
    </row>
    <row r="643">
      <c r="A643" s="136"/>
      <c r="B643" s="137"/>
      <c r="C643" s="138"/>
      <c r="D643" s="139"/>
      <c r="E643" s="140"/>
    </row>
    <row r="644">
      <c r="A644" s="136"/>
      <c r="B644" s="137"/>
      <c r="C644" s="138"/>
      <c r="D644" s="139"/>
      <c r="E644" s="140"/>
    </row>
    <row r="645">
      <c r="A645" s="136"/>
      <c r="B645" s="137"/>
      <c r="C645" s="138"/>
      <c r="D645" s="139"/>
      <c r="E645" s="140"/>
    </row>
    <row r="646">
      <c r="A646" s="136"/>
      <c r="B646" s="137"/>
      <c r="C646" s="138"/>
      <c r="D646" s="139"/>
      <c r="E646" s="140"/>
    </row>
    <row r="647">
      <c r="A647" s="136"/>
      <c r="B647" s="137"/>
      <c r="C647" s="138"/>
      <c r="D647" s="139"/>
      <c r="E647" s="140"/>
    </row>
    <row r="648">
      <c r="A648" s="136"/>
      <c r="B648" s="137"/>
      <c r="C648" s="138"/>
      <c r="D648" s="139"/>
      <c r="E648" s="140"/>
    </row>
    <row r="649">
      <c r="A649" s="136"/>
      <c r="B649" s="137"/>
      <c r="C649" s="138"/>
      <c r="D649" s="139"/>
      <c r="E649" s="140"/>
    </row>
    <row r="650">
      <c r="A650" s="136"/>
      <c r="B650" s="137"/>
      <c r="C650" s="138"/>
      <c r="D650" s="139"/>
      <c r="E650" s="140"/>
    </row>
    <row r="651">
      <c r="A651" s="136"/>
      <c r="B651" s="137"/>
      <c r="C651" s="138"/>
      <c r="D651" s="139"/>
      <c r="E651" s="140"/>
    </row>
    <row r="652">
      <c r="A652" s="136"/>
      <c r="B652" s="137"/>
      <c r="C652" s="138"/>
      <c r="D652" s="139"/>
      <c r="E652" s="140"/>
    </row>
    <row r="653">
      <c r="A653" s="136"/>
      <c r="B653" s="137"/>
      <c r="C653" s="138"/>
      <c r="D653" s="139"/>
      <c r="E653" s="140"/>
    </row>
    <row r="654">
      <c r="A654" s="136"/>
      <c r="B654" s="137"/>
      <c r="C654" s="138"/>
      <c r="D654" s="139"/>
      <c r="E654" s="140"/>
    </row>
    <row r="655">
      <c r="A655" s="136"/>
      <c r="B655" s="137"/>
      <c r="C655" s="138"/>
      <c r="D655" s="139"/>
      <c r="E655" s="140"/>
    </row>
    <row r="656">
      <c r="A656" s="136"/>
      <c r="B656" s="137"/>
      <c r="C656" s="138"/>
      <c r="D656" s="139"/>
      <c r="E656" s="140"/>
    </row>
    <row r="657">
      <c r="A657" s="136"/>
      <c r="B657" s="137"/>
      <c r="C657" s="138"/>
      <c r="D657" s="139"/>
      <c r="E657" s="140"/>
    </row>
    <row r="658">
      <c r="A658" s="136"/>
      <c r="B658" s="137"/>
      <c r="C658" s="138"/>
      <c r="D658" s="139"/>
      <c r="E658" s="140"/>
    </row>
    <row r="659">
      <c r="A659" s="136"/>
      <c r="B659" s="137"/>
      <c r="C659" s="138"/>
      <c r="D659" s="139"/>
      <c r="E659" s="140"/>
    </row>
    <row r="660">
      <c r="A660" s="136"/>
      <c r="B660" s="137"/>
      <c r="C660" s="138"/>
      <c r="D660" s="139"/>
      <c r="E660" s="140"/>
    </row>
    <row r="661">
      <c r="A661" s="136"/>
      <c r="B661" s="137"/>
      <c r="C661" s="138"/>
      <c r="D661" s="139"/>
      <c r="E661" s="140"/>
    </row>
    <row r="662">
      <c r="A662" s="136"/>
      <c r="B662" s="137"/>
      <c r="C662" s="138"/>
      <c r="D662" s="139"/>
      <c r="E662" s="140"/>
    </row>
    <row r="663">
      <c r="A663" s="136"/>
      <c r="B663" s="137"/>
      <c r="C663" s="138"/>
      <c r="D663" s="139"/>
      <c r="E663" s="140"/>
    </row>
    <row r="664">
      <c r="A664" s="136"/>
      <c r="B664" s="137"/>
      <c r="C664" s="138"/>
      <c r="D664" s="139"/>
      <c r="E664" s="140"/>
    </row>
    <row r="665">
      <c r="A665" s="136"/>
      <c r="B665" s="137"/>
      <c r="C665" s="138"/>
      <c r="D665" s="139"/>
      <c r="E665" s="140"/>
    </row>
    <row r="666">
      <c r="A666" s="136"/>
      <c r="B666" s="137"/>
      <c r="C666" s="138"/>
      <c r="D666" s="139"/>
      <c r="E666" s="140"/>
    </row>
    <row r="667">
      <c r="A667" s="136"/>
      <c r="B667" s="137"/>
      <c r="C667" s="138"/>
      <c r="D667" s="139"/>
      <c r="E667" s="140"/>
    </row>
    <row r="668">
      <c r="A668" s="136"/>
      <c r="B668" s="137"/>
      <c r="C668" s="138"/>
      <c r="D668" s="139"/>
      <c r="E668" s="140"/>
    </row>
    <row r="669">
      <c r="A669" s="136"/>
      <c r="B669" s="137"/>
      <c r="C669" s="138"/>
      <c r="D669" s="139"/>
      <c r="E669" s="140"/>
    </row>
    <row r="670">
      <c r="A670" s="136"/>
      <c r="B670" s="137"/>
      <c r="C670" s="138"/>
      <c r="D670" s="139"/>
      <c r="E670" s="140"/>
    </row>
    <row r="671">
      <c r="A671" s="136"/>
      <c r="B671" s="137"/>
      <c r="C671" s="138"/>
      <c r="D671" s="139"/>
      <c r="E671" s="140"/>
    </row>
    <row r="672">
      <c r="A672" s="136"/>
      <c r="B672" s="137"/>
      <c r="C672" s="138"/>
      <c r="D672" s="139"/>
      <c r="E672" s="140"/>
    </row>
    <row r="673">
      <c r="A673" s="136"/>
      <c r="B673" s="137"/>
      <c r="C673" s="138"/>
      <c r="D673" s="139"/>
      <c r="E673" s="140"/>
    </row>
    <row r="674">
      <c r="A674" s="136"/>
      <c r="B674" s="137"/>
      <c r="C674" s="138"/>
      <c r="D674" s="139"/>
      <c r="E674" s="140"/>
    </row>
    <row r="675">
      <c r="A675" s="136"/>
      <c r="B675" s="137"/>
      <c r="C675" s="138"/>
      <c r="D675" s="139"/>
      <c r="E675" s="140"/>
    </row>
    <row r="676">
      <c r="A676" s="136"/>
      <c r="B676" s="137"/>
      <c r="C676" s="138"/>
      <c r="D676" s="139"/>
      <c r="E676" s="140"/>
    </row>
    <row r="677">
      <c r="A677" s="136"/>
      <c r="B677" s="137"/>
      <c r="C677" s="138"/>
      <c r="D677" s="139"/>
      <c r="E677" s="140"/>
    </row>
    <row r="678">
      <c r="A678" s="136"/>
      <c r="B678" s="137"/>
      <c r="C678" s="138"/>
      <c r="D678" s="139"/>
      <c r="E678" s="140"/>
    </row>
    <row r="679">
      <c r="A679" s="136"/>
      <c r="B679" s="137"/>
      <c r="C679" s="138"/>
      <c r="D679" s="139"/>
      <c r="E679" s="140"/>
    </row>
    <row r="680">
      <c r="A680" s="136"/>
      <c r="B680" s="137"/>
      <c r="C680" s="138"/>
      <c r="D680" s="139"/>
      <c r="E680" s="140"/>
    </row>
    <row r="681">
      <c r="A681" s="136"/>
      <c r="B681" s="137"/>
      <c r="C681" s="138"/>
      <c r="D681" s="139"/>
      <c r="E681" s="140"/>
    </row>
    <row r="682">
      <c r="A682" s="136"/>
      <c r="B682" s="137"/>
      <c r="C682" s="138"/>
      <c r="D682" s="139"/>
      <c r="E682" s="140"/>
    </row>
    <row r="683">
      <c r="A683" s="136"/>
      <c r="B683" s="137"/>
      <c r="C683" s="138"/>
      <c r="D683" s="139"/>
      <c r="E683" s="140"/>
    </row>
    <row r="684">
      <c r="A684" s="136"/>
      <c r="B684" s="137"/>
      <c r="C684" s="138"/>
      <c r="D684" s="139"/>
      <c r="E684" s="140"/>
    </row>
    <row r="685">
      <c r="A685" s="136"/>
      <c r="B685" s="137"/>
      <c r="C685" s="138"/>
      <c r="D685" s="139"/>
      <c r="E685" s="140"/>
    </row>
    <row r="686">
      <c r="A686" s="136"/>
      <c r="B686" s="137"/>
      <c r="C686" s="138"/>
      <c r="D686" s="139"/>
      <c r="E686" s="140"/>
    </row>
    <row r="687">
      <c r="A687" s="136"/>
      <c r="B687" s="137"/>
      <c r="C687" s="138"/>
      <c r="D687" s="139"/>
      <c r="E687" s="140"/>
    </row>
    <row r="688">
      <c r="A688" s="136"/>
      <c r="B688" s="137"/>
      <c r="C688" s="138"/>
      <c r="D688" s="139"/>
      <c r="E688" s="140"/>
    </row>
    <row r="689">
      <c r="A689" s="136"/>
      <c r="B689" s="137"/>
      <c r="C689" s="138"/>
      <c r="D689" s="139"/>
      <c r="E689" s="140"/>
    </row>
    <row r="690">
      <c r="A690" s="136"/>
      <c r="B690" s="137"/>
      <c r="C690" s="138"/>
      <c r="D690" s="139"/>
      <c r="E690" s="140"/>
    </row>
    <row r="691">
      <c r="A691" s="136"/>
      <c r="B691" s="137"/>
      <c r="C691" s="138"/>
      <c r="D691" s="139"/>
      <c r="E691" s="140"/>
    </row>
    <row r="692">
      <c r="A692" s="136"/>
      <c r="B692" s="137"/>
      <c r="C692" s="138"/>
      <c r="D692" s="139"/>
      <c r="E692" s="140"/>
    </row>
    <row r="693">
      <c r="A693" s="136"/>
      <c r="B693" s="137"/>
      <c r="C693" s="138"/>
      <c r="D693" s="139"/>
      <c r="E693" s="140"/>
    </row>
    <row r="694">
      <c r="A694" s="136"/>
      <c r="B694" s="137"/>
      <c r="C694" s="138"/>
      <c r="D694" s="139"/>
      <c r="E694" s="140"/>
    </row>
    <row r="695">
      <c r="A695" s="136"/>
      <c r="B695" s="137"/>
      <c r="C695" s="138"/>
      <c r="D695" s="139"/>
      <c r="E695" s="140"/>
    </row>
    <row r="696">
      <c r="A696" s="136"/>
      <c r="B696" s="137"/>
      <c r="C696" s="138"/>
      <c r="D696" s="139"/>
      <c r="E696" s="140"/>
    </row>
    <row r="697">
      <c r="A697" s="136"/>
      <c r="B697" s="137"/>
      <c r="C697" s="138"/>
      <c r="D697" s="139"/>
      <c r="E697" s="140"/>
    </row>
    <row r="698">
      <c r="A698" s="136"/>
      <c r="B698" s="137"/>
      <c r="C698" s="138"/>
      <c r="D698" s="139"/>
      <c r="E698" s="140"/>
    </row>
    <row r="699">
      <c r="A699" s="136"/>
      <c r="B699" s="137"/>
      <c r="C699" s="138"/>
      <c r="D699" s="139"/>
      <c r="E699" s="140"/>
    </row>
    <row r="700">
      <c r="A700" s="136"/>
      <c r="B700" s="137"/>
      <c r="C700" s="138"/>
      <c r="D700" s="139"/>
      <c r="E700" s="140"/>
    </row>
    <row r="701">
      <c r="A701" s="136"/>
      <c r="B701" s="137"/>
      <c r="C701" s="138"/>
      <c r="D701" s="139"/>
      <c r="E701" s="140"/>
    </row>
    <row r="702">
      <c r="A702" s="136"/>
      <c r="B702" s="137"/>
      <c r="C702" s="138"/>
      <c r="D702" s="139"/>
      <c r="E702" s="140"/>
    </row>
    <row r="703">
      <c r="A703" s="136"/>
      <c r="B703" s="137"/>
      <c r="C703" s="138"/>
      <c r="D703" s="139"/>
      <c r="E703" s="140"/>
    </row>
    <row r="704">
      <c r="A704" s="136"/>
      <c r="B704" s="137"/>
      <c r="C704" s="138"/>
      <c r="D704" s="139"/>
      <c r="E704" s="140"/>
    </row>
    <row r="705">
      <c r="A705" s="136"/>
      <c r="B705" s="137"/>
      <c r="C705" s="138"/>
      <c r="D705" s="139"/>
      <c r="E705" s="140"/>
    </row>
    <row r="706">
      <c r="A706" s="136"/>
      <c r="B706" s="137"/>
      <c r="C706" s="138"/>
      <c r="D706" s="139"/>
      <c r="E706" s="140"/>
    </row>
    <row r="707">
      <c r="A707" s="136"/>
      <c r="B707" s="137"/>
      <c r="C707" s="138"/>
      <c r="D707" s="139"/>
      <c r="E707" s="140"/>
    </row>
    <row r="708">
      <c r="A708" s="136"/>
      <c r="B708" s="137"/>
      <c r="C708" s="138"/>
      <c r="D708" s="139"/>
      <c r="E708" s="140"/>
    </row>
    <row r="709">
      <c r="A709" s="136"/>
      <c r="B709" s="137"/>
      <c r="C709" s="138"/>
      <c r="D709" s="139"/>
      <c r="E709" s="140"/>
    </row>
    <row r="710">
      <c r="A710" s="136"/>
      <c r="B710" s="137"/>
      <c r="C710" s="138"/>
      <c r="D710" s="139"/>
      <c r="E710" s="140"/>
    </row>
    <row r="711">
      <c r="A711" s="136"/>
      <c r="B711" s="137"/>
      <c r="C711" s="138"/>
      <c r="D711" s="139"/>
      <c r="E711" s="140"/>
    </row>
    <row r="712">
      <c r="A712" s="136"/>
      <c r="B712" s="137"/>
      <c r="C712" s="138"/>
      <c r="D712" s="139"/>
      <c r="E712" s="140"/>
    </row>
    <row r="713">
      <c r="A713" s="136"/>
      <c r="B713" s="137"/>
      <c r="C713" s="138"/>
      <c r="D713" s="139"/>
      <c r="E713" s="140"/>
    </row>
    <row r="714">
      <c r="A714" s="136"/>
      <c r="B714" s="137"/>
      <c r="C714" s="138"/>
      <c r="D714" s="139"/>
      <c r="E714" s="140"/>
    </row>
    <row r="715">
      <c r="A715" s="136"/>
      <c r="B715" s="137"/>
      <c r="C715" s="138"/>
      <c r="D715" s="139"/>
      <c r="E715" s="140"/>
    </row>
    <row r="716">
      <c r="A716" s="136"/>
      <c r="B716" s="137"/>
      <c r="C716" s="138"/>
      <c r="D716" s="139"/>
      <c r="E716" s="140"/>
    </row>
    <row r="717">
      <c r="A717" s="136"/>
      <c r="B717" s="137"/>
      <c r="C717" s="138"/>
      <c r="D717" s="139"/>
      <c r="E717" s="140"/>
    </row>
    <row r="718">
      <c r="A718" s="136"/>
      <c r="B718" s="137"/>
      <c r="C718" s="138"/>
      <c r="D718" s="139"/>
      <c r="E718" s="140"/>
    </row>
    <row r="719">
      <c r="A719" s="136"/>
      <c r="B719" s="137"/>
      <c r="C719" s="138"/>
      <c r="D719" s="139"/>
      <c r="E719" s="140"/>
    </row>
    <row r="720">
      <c r="A720" s="136"/>
      <c r="B720" s="137"/>
      <c r="C720" s="138"/>
      <c r="D720" s="139"/>
      <c r="E720" s="140"/>
    </row>
    <row r="721">
      <c r="A721" s="136"/>
      <c r="B721" s="137"/>
      <c r="C721" s="138"/>
      <c r="D721" s="139"/>
      <c r="E721" s="140"/>
    </row>
    <row r="722">
      <c r="A722" s="136"/>
      <c r="B722" s="137"/>
      <c r="C722" s="138"/>
      <c r="D722" s="139"/>
      <c r="E722" s="140"/>
    </row>
    <row r="723">
      <c r="A723" s="136"/>
      <c r="B723" s="137"/>
      <c r="C723" s="138"/>
      <c r="D723" s="139"/>
      <c r="E723" s="140"/>
    </row>
    <row r="724">
      <c r="A724" s="136"/>
      <c r="B724" s="137"/>
      <c r="C724" s="138"/>
      <c r="D724" s="139"/>
      <c r="E724" s="140"/>
    </row>
    <row r="725">
      <c r="A725" s="136"/>
      <c r="B725" s="137"/>
      <c r="C725" s="138"/>
      <c r="D725" s="139"/>
      <c r="E725" s="140"/>
    </row>
    <row r="726">
      <c r="A726" s="136"/>
      <c r="B726" s="137"/>
      <c r="C726" s="138"/>
      <c r="D726" s="139"/>
      <c r="E726" s="140"/>
    </row>
    <row r="727">
      <c r="A727" s="136"/>
      <c r="B727" s="137"/>
      <c r="C727" s="138"/>
      <c r="D727" s="139"/>
      <c r="E727" s="140"/>
    </row>
    <row r="728">
      <c r="A728" s="136"/>
      <c r="B728" s="137"/>
      <c r="C728" s="138"/>
      <c r="D728" s="139"/>
      <c r="E728" s="140"/>
    </row>
    <row r="729">
      <c r="A729" s="136"/>
      <c r="B729" s="137"/>
      <c r="C729" s="138"/>
      <c r="D729" s="139"/>
      <c r="E729" s="140"/>
    </row>
    <row r="730">
      <c r="A730" s="136"/>
      <c r="B730" s="137"/>
      <c r="C730" s="138"/>
      <c r="D730" s="139"/>
      <c r="E730" s="140"/>
    </row>
    <row r="731">
      <c r="A731" s="136"/>
      <c r="B731" s="137"/>
      <c r="C731" s="138"/>
      <c r="D731" s="139"/>
      <c r="E731" s="140"/>
    </row>
    <row r="732">
      <c r="A732" s="136"/>
      <c r="B732" s="137"/>
      <c r="C732" s="138"/>
      <c r="D732" s="139"/>
      <c r="E732" s="140"/>
    </row>
    <row r="733">
      <c r="A733" s="136"/>
      <c r="B733" s="137"/>
      <c r="C733" s="138"/>
      <c r="D733" s="139"/>
      <c r="E733" s="140"/>
    </row>
    <row r="734">
      <c r="A734" s="136"/>
      <c r="B734" s="137"/>
      <c r="C734" s="138"/>
      <c r="D734" s="139"/>
      <c r="E734" s="140"/>
    </row>
    <row r="735">
      <c r="A735" s="136"/>
      <c r="B735" s="137"/>
      <c r="C735" s="138"/>
      <c r="D735" s="139"/>
      <c r="E735" s="140"/>
    </row>
    <row r="736">
      <c r="A736" s="136"/>
      <c r="B736" s="137"/>
      <c r="C736" s="138"/>
      <c r="D736" s="139"/>
      <c r="E736" s="140"/>
    </row>
    <row r="737">
      <c r="A737" s="136"/>
      <c r="B737" s="137"/>
      <c r="C737" s="138"/>
      <c r="D737" s="139"/>
      <c r="E737" s="140"/>
    </row>
    <row r="738">
      <c r="A738" s="136"/>
      <c r="B738" s="137"/>
      <c r="C738" s="138"/>
      <c r="D738" s="139"/>
      <c r="E738" s="140"/>
    </row>
    <row r="739">
      <c r="A739" s="136"/>
      <c r="B739" s="137"/>
      <c r="C739" s="138"/>
      <c r="D739" s="139"/>
      <c r="E739" s="140"/>
    </row>
    <row r="740">
      <c r="A740" s="136"/>
      <c r="B740" s="137"/>
      <c r="C740" s="138"/>
      <c r="D740" s="139"/>
      <c r="E740" s="140"/>
    </row>
    <row r="741">
      <c r="A741" s="136"/>
      <c r="B741" s="137"/>
      <c r="C741" s="138"/>
      <c r="D741" s="139"/>
      <c r="E741" s="140"/>
    </row>
    <row r="742">
      <c r="A742" s="136"/>
      <c r="B742" s="137"/>
      <c r="C742" s="138"/>
      <c r="D742" s="139"/>
      <c r="E742" s="140"/>
    </row>
    <row r="743">
      <c r="A743" s="136"/>
      <c r="B743" s="137"/>
      <c r="C743" s="138"/>
      <c r="D743" s="139"/>
      <c r="E743" s="140"/>
    </row>
    <row r="744">
      <c r="A744" s="136"/>
      <c r="B744" s="137"/>
      <c r="C744" s="138"/>
      <c r="D744" s="139"/>
      <c r="E744" s="140"/>
    </row>
    <row r="745">
      <c r="A745" s="136"/>
      <c r="B745" s="137"/>
      <c r="C745" s="138"/>
      <c r="D745" s="139"/>
      <c r="E745" s="140"/>
    </row>
    <row r="746">
      <c r="A746" s="136"/>
      <c r="B746" s="137"/>
      <c r="C746" s="138"/>
      <c r="D746" s="139"/>
      <c r="E746" s="140"/>
    </row>
    <row r="747">
      <c r="A747" s="136"/>
      <c r="B747" s="137"/>
      <c r="C747" s="138"/>
      <c r="D747" s="139"/>
      <c r="E747" s="140"/>
    </row>
    <row r="748">
      <c r="A748" s="136"/>
      <c r="B748" s="137"/>
      <c r="C748" s="138"/>
      <c r="D748" s="139"/>
      <c r="E748" s="140"/>
    </row>
    <row r="749">
      <c r="A749" s="136"/>
      <c r="B749" s="137"/>
      <c r="C749" s="138"/>
      <c r="D749" s="139"/>
      <c r="E749" s="140"/>
    </row>
    <row r="750">
      <c r="A750" s="136"/>
      <c r="B750" s="137"/>
      <c r="C750" s="138"/>
      <c r="D750" s="139"/>
      <c r="E750" s="140"/>
    </row>
    <row r="751">
      <c r="A751" s="136"/>
      <c r="B751" s="137"/>
      <c r="C751" s="138"/>
      <c r="D751" s="139"/>
      <c r="E751" s="140"/>
    </row>
    <row r="752">
      <c r="A752" s="136"/>
      <c r="B752" s="137"/>
      <c r="C752" s="138"/>
      <c r="D752" s="139"/>
      <c r="E752" s="140"/>
    </row>
    <row r="753">
      <c r="A753" s="136"/>
      <c r="B753" s="137"/>
      <c r="C753" s="138"/>
      <c r="D753" s="139"/>
      <c r="E753" s="140"/>
    </row>
    <row r="754">
      <c r="A754" s="136"/>
      <c r="B754" s="137"/>
      <c r="C754" s="138"/>
      <c r="D754" s="139"/>
      <c r="E754" s="140"/>
    </row>
    <row r="755">
      <c r="A755" s="136"/>
      <c r="B755" s="137"/>
      <c r="C755" s="138"/>
      <c r="D755" s="139"/>
      <c r="E755" s="140"/>
    </row>
    <row r="756">
      <c r="A756" s="136"/>
      <c r="B756" s="137"/>
      <c r="C756" s="138"/>
      <c r="D756" s="139"/>
      <c r="E756" s="140"/>
    </row>
    <row r="757">
      <c r="A757" s="136"/>
      <c r="B757" s="137"/>
      <c r="C757" s="138"/>
      <c r="D757" s="139"/>
      <c r="E757" s="140"/>
    </row>
    <row r="758">
      <c r="A758" s="136"/>
      <c r="B758" s="137"/>
      <c r="C758" s="138"/>
      <c r="D758" s="139"/>
      <c r="E758" s="140"/>
    </row>
    <row r="759">
      <c r="A759" s="136"/>
      <c r="B759" s="137"/>
      <c r="C759" s="138"/>
      <c r="D759" s="139"/>
      <c r="E759" s="140"/>
    </row>
    <row r="760">
      <c r="A760" s="136"/>
      <c r="B760" s="137"/>
      <c r="C760" s="138"/>
      <c r="D760" s="139"/>
      <c r="E760" s="140"/>
    </row>
    <row r="761">
      <c r="A761" s="136"/>
      <c r="B761" s="137"/>
      <c r="C761" s="138"/>
      <c r="D761" s="139"/>
      <c r="E761" s="140"/>
    </row>
    <row r="762">
      <c r="A762" s="136"/>
      <c r="B762" s="137"/>
      <c r="C762" s="138"/>
      <c r="D762" s="139"/>
      <c r="E762" s="140"/>
    </row>
    <row r="763">
      <c r="A763" s="136"/>
      <c r="B763" s="137"/>
      <c r="C763" s="138"/>
      <c r="D763" s="139"/>
      <c r="E763" s="140"/>
    </row>
    <row r="764">
      <c r="A764" s="136"/>
      <c r="B764" s="137"/>
      <c r="C764" s="138"/>
      <c r="D764" s="139"/>
      <c r="E764" s="140"/>
    </row>
    <row r="765">
      <c r="A765" s="136"/>
      <c r="B765" s="137"/>
      <c r="C765" s="138"/>
      <c r="D765" s="139"/>
      <c r="E765" s="140"/>
    </row>
    <row r="766">
      <c r="A766" s="136"/>
      <c r="B766" s="137"/>
      <c r="C766" s="138"/>
      <c r="D766" s="139"/>
      <c r="E766" s="140"/>
    </row>
    <row r="767">
      <c r="A767" s="136"/>
      <c r="B767" s="137"/>
      <c r="C767" s="138"/>
      <c r="D767" s="139"/>
      <c r="E767" s="140"/>
    </row>
    <row r="768">
      <c r="A768" s="136"/>
      <c r="B768" s="137"/>
      <c r="C768" s="138"/>
      <c r="D768" s="139"/>
      <c r="E768" s="140"/>
    </row>
    <row r="769">
      <c r="A769" s="136"/>
      <c r="B769" s="137"/>
      <c r="C769" s="138"/>
      <c r="D769" s="139"/>
      <c r="E769" s="140"/>
    </row>
    <row r="770">
      <c r="A770" s="136"/>
      <c r="B770" s="137"/>
      <c r="C770" s="138"/>
      <c r="D770" s="139"/>
      <c r="E770" s="140"/>
    </row>
    <row r="771">
      <c r="A771" s="136"/>
      <c r="B771" s="137"/>
      <c r="C771" s="138"/>
      <c r="D771" s="139"/>
      <c r="E771" s="140"/>
    </row>
    <row r="772">
      <c r="A772" s="136"/>
      <c r="B772" s="137"/>
      <c r="C772" s="138"/>
      <c r="D772" s="139"/>
      <c r="E772" s="140"/>
    </row>
    <row r="773">
      <c r="A773" s="136"/>
      <c r="B773" s="137"/>
      <c r="C773" s="138"/>
      <c r="D773" s="139"/>
      <c r="E773" s="140"/>
    </row>
    <row r="774">
      <c r="A774" s="136"/>
      <c r="B774" s="137"/>
      <c r="C774" s="138"/>
      <c r="D774" s="139"/>
      <c r="E774" s="140"/>
    </row>
    <row r="775">
      <c r="A775" s="136"/>
      <c r="B775" s="137"/>
      <c r="C775" s="138"/>
      <c r="D775" s="139"/>
      <c r="E775" s="140"/>
    </row>
    <row r="776">
      <c r="A776" s="136"/>
      <c r="B776" s="137"/>
      <c r="C776" s="138"/>
      <c r="D776" s="139"/>
      <c r="E776" s="140"/>
    </row>
    <row r="777">
      <c r="A777" s="136"/>
      <c r="B777" s="137"/>
      <c r="C777" s="138"/>
      <c r="D777" s="139"/>
      <c r="E777" s="140"/>
    </row>
    <row r="778">
      <c r="A778" s="136"/>
      <c r="B778" s="137"/>
      <c r="C778" s="138"/>
      <c r="D778" s="139"/>
      <c r="E778" s="140"/>
    </row>
    <row r="779">
      <c r="A779" s="136"/>
      <c r="B779" s="137"/>
      <c r="C779" s="138"/>
      <c r="D779" s="139"/>
      <c r="E779" s="140"/>
    </row>
    <row r="780">
      <c r="A780" s="136"/>
      <c r="B780" s="137"/>
      <c r="C780" s="138"/>
      <c r="D780" s="139"/>
      <c r="E780" s="140"/>
    </row>
    <row r="781">
      <c r="A781" s="136"/>
      <c r="B781" s="137"/>
      <c r="C781" s="138"/>
      <c r="D781" s="139"/>
      <c r="E781" s="140"/>
    </row>
    <row r="782">
      <c r="A782" s="136"/>
      <c r="B782" s="137"/>
      <c r="C782" s="138"/>
      <c r="D782" s="139"/>
      <c r="E782" s="140"/>
    </row>
    <row r="783">
      <c r="A783" s="136"/>
      <c r="B783" s="137"/>
      <c r="C783" s="138"/>
      <c r="D783" s="139"/>
      <c r="E783" s="140"/>
    </row>
    <row r="784">
      <c r="A784" s="136"/>
      <c r="B784" s="137"/>
      <c r="C784" s="138"/>
      <c r="D784" s="139"/>
      <c r="E784" s="140"/>
    </row>
    <row r="785">
      <c r="A785" s="136"/>
      <c r="B785" s="137"/>
      <c r="C785" s="138"/>
      <c r="D785" s="139"/>
      <c r="E785" s="140"/>
    </row>
    <row r="786">
      <c r="A786" s="136"/>
      <c r="B786" s="137"/>
      <c r="C786" s="138"/>
      <c r="D786" s="139"/>
      <c r="E786" s="140"/>
    </row>
    <row r="787">
      <c r="A787" s="136"/>
      <c r="B787" s="137"/>
      <c r="C787" s="138"/>
      <c r="D787" s="139"/>
      <c r="E787" s="140"/>
    </row>
    <row r="788">
      <c r="A788" s="136"/>
      <c r="B788" s="137"/>
      <c r="C788" s="138"/>
      <c r="D788" s="139"/>
      <c r="E788" s="140"/>
    </row>
    <row r="789">
      <c r="A789" s="136"/>
      <c r="B789" s="137"/>
      <c r="C789" s="138"/>
      <c r="D789" s="139"/>
      <c r="E789" s="140"/>
    </row>
    <row r="790">
      <c r="A790" s="136"/>
      <c r="B790" s="137"/>
      <c r="C790" s="138"/>
      <c r="D790" s="139"/>
      <c r="E790" s="140"/>
    </row>
    <row r="791">
      <c r="A791" s="136"/>
      <c r="B791" s="137"/>
      <c r="C791" s="138"/>
      <c r="D791" s="139"/>
      <c r="E791" s="140"/>
    </row>
    <row r="792">
      <c r="A792" s="136"/>
      <c r="B792" s="137"/>
      <c r="C792" s="138"/>
      <c r="D792" s="139"/>
      <c r="E792" s="140"/>
    </row>
    <row r="793">
      <c r="A793" s="136"/>
      <c r="B793" s="137"/>
      <c r="C793" s="138"/>
      <c r="D793" s="139"/>
      <c r="E793" s="140"/>
    </row>
    <row r="794">
      <c r="A794" s="136"/>
      <c r="B794" s="137"/>
      <c r="C794" s="138"/>
      <c r="D794" s="139"/>
      <c r="E794" s="140"/>
    </row>
    <row r="795">
      <c r="A795" s="136"/>
      <c r="B795" s="137"/>
      <c r="C795" s="138"/>
      <c r="D795" s="139"/>
      <c r="E795" s="140"/>
    </row>
    <row r="796">
      <c r="A796" s="136"/>
      <c r="B796" s="137"/>
      <c r="C796" s="138"/>
      <c r="D796" s="139"/>
      <c r="E796" s="140"/>
    </row>
    <row r="797">
      <c r="A797" s="136"/>
      <c r="B797" s="137"/>
      <c r="C797" s="138"/>
      <c r="D797" s="139"/>
      <c r="E797" s="140"/>
    </row>
    <row r="798">
      <c r="A798" s="136"/>
      <c r="B798" s="137"/>
      <c r="C798" s="138"/>
      <c r="D798" s="139"/>
      <c r="E798" s="140"/>
    </row>
    <row r="799">
      <c r="A799" s="136"/>
      <c r="B799" s="137"/>
      <c r="C799" s="138"/>
      <c r="D799" s="139"/>
      <c r="E799" s="140"/>
    </row>
    <row r="800">
      <c r="A800" s="136"/>
      <c r="B800" s="137"/>
      <c r="C800" s="138"/>
      <c r="D800" s="139"/>
      <c r="E800" s="140"/>
    </row>
    <row r="801">
      <c r="A801" s="136"/>
      <c r="B801" s="137"/>
      <c r="C801" s="138"/>
      <c r="D801" s="139"/>
      <c r="E801" s="140"/>
    </row>
    <row r="802">
      <c r="A802" s="136"/>
      <c r="B802" s="137"/>
      <c r="C802" s="138"/>
      <c r="D802" s="139"/>
      <c r="E802" s="140"/>
    </row>
    <row r="803">
      <c r="A803" s="136"/>
      <c r="B803" s="137"/>
      <c r="C803" s="138"/>
      <c r="D803" s="139"/>
      <c r="E803" s="140"/>
    </row>
    <row r="804">
      <c r="A804" s="136"/>
      <c r="B804" s="137"/>
      <c r="C804" s="138"/>
      <c r="D804" s="139"/>
      <c r="E804" s="140"/>
    </row>
    <row r="805">
      <c r="A805" s="136"/>
      <c r="B805" s="137"/>
      <c r="C805" s="138"/>
      <c r="D805" s="139"/>
      <c r="E805" s="140"/>
    </row>
    <row r="806">
      <c r="A806" s="136"/>
      <c r="B806" s="137"/>
      <c r="C806" s="138"/>
      <c r="D806" s="139"/>
      <c r="E806" s="140"/>
    </row>
    <row r="807">
      <c r="A807" s="136"/>
      <c r="B807" s="137"/>
      <c r="C807" s="138"/>
      <c r="D807" s="139"/>
      <c r="E807" s="140"/>
    </row>
    <row r="808">
      <c r="A808" s="136"/>
      <c r="B808" s="137"/>
      <c r="C808" s="138"/>
      <c r="D808" s="139"/>
      <c r="E808" s="140"/>
    </row>
    <row r="809">
      <c r="A809" s="136"/>
      <c r="B809" s="137"/>
      <c r="C809" s="138"/>
      <c r="D809" s="139"/>
      <c r="E809" s="140"/>
    </row>
    <row r="810">
      <c r="A810" s="136"/>
      <c r="B810" s="137"/>
      <c r="C810" s="138"/>
      <c r="D810" s="139"/>
      <c r="E810" s="140"/>
    </row>
    <row r="811">
      <c r="A811" s="136"/>
      <c r="B811" s="137"/>
      <c r="C811" s="138"/>
      <c r="D811" s="139"/>
      <c r="E811" s="140"/>
    </row>
    <row r="812">
      <c r="A812" s="136"/>
      <c r="B812" s="137"/>
      <c r="C812" s="138"/>
      <c r="D812" s="139"/>
      <c r="E812" s="140"/>
    </row>
    <row r="813">
      <c r="A813" s="136"/>
      <c r="B813" s="137"/>
      <c r="C813" s="138"/>
      <c r="D813" s="139"/>
      <c r="E813" s="140"/>
    </row>
    <row r="814">
      <c r="A814" s="136"/>
      <c r="B814" s="137"/>
      <c r="C814" s="138"/>
      <c r="D814" s="139"/>
      <c r="E814" s="140"/>
    </row>
    <row r="815">
      <c r="A815" s="136"/>
      <c r="B815" s="137"/>
      <c r="C815" s="138"/>
      <c r="D815" s="139"/>
      <c r="E815" s="140"/>
    </row>
    <row r="816">
      <c r="A816" s="136"/>
      <c r="B816" s="137"/>
      <c r="C816" s="138"/>
      <c r="D816" s="139"/>
      <c r="E816" s="140"/>
    </row>
    <row r="817">
      <c r="A817" s="136"/>
      <c r="B817" s="137"/>
      <c r="C817" s="138"/>
      <c r="D817" s="139"/>
      <c r="E817" s="140"/>
    </row>
    <row r="818">
      <c r="A818" s="136"/>
      <c r="B818" s="137"/>
      <c r="C818" s="138"/>
      <c r="D818" s="139"/>
      <c r="E818" s="140"/>
    </row>
    <row r="819">
      <c r="A819" s="136"/>
      <c r="B819" s="137"/>
      <c r="C819" s="138"/>
      <c r="D819" s="139"/>
      <c r="E819" s="140"/>
    </row>
    <row r="820">
      <c r="A820" s="136"/>
      <c r="B820" s="137"/>
      <c r="C820" s="138"/>
      <c r="D820" s="139"/>
      <c r="E820" s="140"/>
    </row>
    <row r="821">
      <c r="A821" s="136"/>
      <c r="B821" s="137"/>
      <c r="C821" s="138"/>
      <c r="D821" s="139"/>
      <c r="E821" s="140"/>
    </row>
    <row r="822">
      <c r="A822" s="136"/>
      <c r="B822" s="137"/>
      <c r="C822" s="138"/>
      <c r="D822" s="139"/>
      <c r="E822" s="140"/>
    </row>
    <row r="823">
      <c r="A823" s="136"/>
      <c r="B823" s="137"/>
      <c r="C823" s="138"/>
      <c r="D823" s="139"/>
      <c r="E823" s="140"/>
    </row>
    <row r="824">
      <c r="A824" s="136"/>
      <c r="B824" s="137"/>
      <c r="C824" s="138"/>
      <c r="D824" s="139"/>
      <c r="E824" s="140"/>
    </row>
    <row r="825">
      <c r="A825" s="136"/>
      <c r="B825" s="137"/>
      <c r="C825" s="138"/>
      <c r="D825" s="139"/>
      <c r="E825" s="140"/>
    </row>
    <row r="826">
      <c r="A826" s="136"/>
      <c r="B826" s="137"/>
      <c r="C826" s="138"/>
      <c r="D826" s="139"/>
      <c r="E826" s="140"/>
    </row>
    <row r="827">
      <c r="A827" s="136"/>
      <c r="B827" s="137"/>
      <c r="C827" s="138"/>
      <c r="D827" s="139"/>
      <c r="E827" s="140"/>
    </row>
    <row r="828">
      <c r="A828" s="136"/>
      <c r="B828" s="137"/>
      <c r="C828" s="138"/>
      <c r="D828" s="139"/>
      <c r="E828" s="140"/>
    </row>
    <row r="829">
      <c r="A829" s="136"/>
      <c r="B829" s="137"/>
      <c r="C829" s="138"/>
      <c r="D829" s="139"/>
      <c r="E829" s="140"/>
    </row>
    <row r="830">
      <c r="A830" s="136"/>
      <c r="B830" s="137"/>
      <c r="C830" s="138"/>
      <c r="D830" s="139"/>
      <c r="E830" s="140"/>
    </row>
    <row r="831">
      <c r="A831" s="136"/>
      <c r="B831" s="137"/>
      <c r="C831" s="138"/>
      <c r="D831" s="139"/>
      <c r="E831" s="140"/>
    </row>
    <row r="832">
      <c r="A832" s="136"/>
      <c r="B832" s="137"/>
      <c r="C832" s="138"/>
      <c r="D832" s="139"/>
      <c r="E832" s="140"/>
    </row>
    <row r="833">
      <c r="A833" s="136"/>
      <c r="B833" s="137"/>
      <c r="C833" s="138"/>
      <c r="D833" s="139"/>
      <c r="E833" s="140"/>
    </row>
    <row r="834">
      <c r="A834" s="136"/>
      <c r="B834" s="137"/>
      <c r="C834" s="138"/>
      <c r="D834" s="139"/>
      <c r="E834" s="140"/>
    </row>
    <row r="835">
      <c r="A835" s="136"/>
      <c r="B835" s="137"/>
      <c r="C835" s="138"/>
      <c r="D835" s="139"/>
      <c r="E835" s="140"/>
    </row>
    <row r="836">
      <c r="A836" s="136"/>
      <c r="B836" s="137"/>
      <c r="C836" s="138"/>
      <c r="D836" s="139"/>
      <c r="E836" s="140"/>
    </row>
    <row r="837">
      <c r="A837" s="136"/>
      <c r="B837" s="137"/>
      <c r="C837" s="138"/>
      <c r="D837" s="139"/>
      <c r="E837" s="140"/>
    </row>
    <row r="838">
      <c r="A838" s="136"/>
      <c r="B838" s="137"/>
      <c r="C838" s="138"/>
      <c r="D838" s="139"/>
      <c r="E838" s="140"/>
    </row>
    <row r="839">
      <c r="A839" s="136"/>
      <c r="B839" s="137"/>
      <c r="C839" s="138"/>
      <c r="D839" s="139"/>
      <c r="E839" s="140"/>
    </row>
    <row r="840">
      <c r="A840" s="136"/>
      <c r="B840" s="137"/>
      <c r="C840" s="138"/>
      <c r="D840" s="139"/>
      <c r="E840" s="140"/>
    </row>
    <row r="841">
      <c r="A841" s="136"/>
      <c r="B841" s="137"/>
      <c r="C841" s="138"/>
      <c r="D841" s="139"/>
      <c r="E841" s="140"/>
    </row>
    <row r="842">
      <c r="A842" s="136"/>
      <c r="B842" s="137"/>
      <c r="C842" s="138"/>
      <c r="D842" s="139"/>
      <c r="E842" s="140"/>
    </row>
    <row r="843">
      <c r="A843" s="136"/>
      <c r="B843" s="137"/>
      <c r="C843" s="138"/>
      <c r="D843" s="139"/>
      <c r="E843" s="140"/>
    </row>
    <row r="844">
      <c r="A844" s="136"/>
      <c r="B844" s="137"/>
      <c r="C844" s="138"/>
      <c r="D844" s="139"/>
      <c r="E844" s="140"/>
    </row>
    <row r="845">
      <c r="A845" s="136"/>
      <c r="B845" s="137"/>
      <c r="C845" s="138"/>
      <c r="D845" s="139"/>
      <c r="E845" s="140"/>
    </row>
    <row r="846">
      <c r="A846" s="136"/>
      <c r="B846" s="137"/>
      <c r="C846" s="138"/>
      <c r="D846" s="139"/>
      <c r="E846" s="140"/>
    </row>
    <row r="847">
      <c r="A847" s="136"/>
      <c r="B847" s="137"/>
      <c r="C847" s="138"/>
      <c r="D847" s="139"/>
      <c r="E847" s="140"/>
    </row>
    <row r="848">
      <c r="A848" s="136"/>
      <c r="B848" s="137"/>
      <c r="C848" s="138"/>
      <c r="D848" s="139"/>
      <c r="E848" s="140"/>
    </row>
    <row r="849">
      <c r="A849" s="136"/>
      <c r="B849" s="137"/>
      <c r="C849" s="138"/>
      <c r="D849" s="139"/>
      <c r="E849" s="140"/>
    </row>
    <row r="850">
      <c r="A850" s="136"/>
      <c r="B850" s="137"/>
      <c r="C850" s="138"/>
      <c r="D850" s="139"/>
      <c r="E850" s="140"/>
    </row>
    <row r="851">
      <c r="A851" s="136"/>
      <c r="B851" s="137"/>
      <c r="C851" s="138"/>
      <c r="D851" s="139"/>
      <c r="E851" s="140"/>
    </row>
    <row r="852">
      <c r="A852" s="136"/>
      <c r="B852" s="137"/>
      <c r="C852" s="138"/>
      <c r="D852" s="139"/>
      <c r="E852" s="140"/>
    </row>
    <row r="853">
      <c r="A853" s="136"/>
      <c r="B853" s="137"/>
      <c r="C853" s="138"/>
      <c r="D853" s="139"/>
      <c r="E853" s="140"/>
    </row>
    <row r="854">
      <c r="A854" s="136"/>
      <c r="B854" s="137"/>
      <c r="C854" s="138"/>
      <c r="D854" s="139"/>
      <c r="E854" s="140"/>
    </row>
    <row r="855">
      <c r="A855" s="136"/>
      <c r="B855" s="137"/>
      <c r="C855" s="138"/>
      <c r="D855" s="139"/>
      <c r="E855" s="140"/>
    </row>
    <row r="856">
      <c r="A856" s="136"/>
      <c r="B856" s="137"/>
      <c r="C856" s="138"/>
      <c r="D856" s="139"/>
      <c r="E856" s="140"/>
    </row>
    <row r="857">
      <c r="A857" s="136"/>
      <c r="B857" s="137"/>
      <c r="C857" s="138"/>
      <c r="D857" s="139"/>
      <c r="E857" s="140"/>
    </row>
    <row r="858">
      <c r="A858" s="136"/>
      <c r="B858" s="137"/>
      <c r="C858" s="138"/>
      <c r="D858" s="139"/>
      <c r="E858" s="140"/>
    </row>
  </sheetData>
  <dataValidations>
    <dataValidation type="list" allowBlank="1" sqref="B2:B145">
      <formula1>#REF!</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44"/>
    <hyperlink r:id="rId33" ref="D45"/>
    <hyperlink r:id="rId34" ref="D46"/>
    <hyperlink r:id="rId35" ref="D47"/>
    <hyperlink r:id="rId36" ref="D48"/>
    <hyperlink r:id="rId37" ref="D49"/>
    <hyperlink r:id="rId38" ref="D50"/>
    <hyperlink r:id="rId39" ref="D51"/>
    <hyperlink r:id="rId40" ref="D52"/>
    <hyperlink r:id="rId41" ref="D53"/>
    <hyperlink r:id="rId42" ref="D54"/>
    <hyperlink r:id="rId43" ref="D55"/>
    <hyperlink r:id="rId44" ref="D56"/>
    <hyperlink r:id="rId45" ref="D57"/>
    <hyperlink r:id="rId46" ref="D58"/>
    <hyperlink r:id="rId47" ref="D59"/>
    <hyperlink r:id="rId48" ref="D104"/>
    <hyperlink r:id="rId49" ref="D105"/>
    <hyperlink r:id="rId50" ref="D106"/>
    <hyperlink r:id="rId51" ref="D107"/>
    <hyperlink r:id="rId52" ref="D108"/>
    <hyperlink r:id="rId53" ref="D109"/>
    <hyperlink r:id="rId54" ref="D110"/>
    <hyperlink r:id="rId55" ref="D111"/>
    <hyperlink r:id="rId56" ref="D112"/>
    <hyperlink r:id="rId57" ref="D113"/>
    <hyperlink r:id="rId58" ref="D114"/>
    <hyperlink r:id="rId59" ref="D115"/>
    <hyperlink r:id="rId60" ref="D116"/>
    <hyperlink r:id="rId61" ref="D117"/>
    <hyperlink r:id="rId62" ref="D118"/>
    <hyperlink r:id="rId63" ref="D119"/>
    <hyperlink r:id="rId64" ref="D120"/>
    <hyperlink r:id="rId65" ref="D121"/>
    <hyperlink r:id="rId66" ref="D122"/>
    <hyperlink r:id="rId67" ref="D123"/>
  </hyperlinks>
  <drawing r:id="rId68"/>
  <tableParts count="1">
    <tablePart r:id="rId7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1C75"/>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hidden="1" min="1" max="1" width="13.75"/>
    <col customWidth="1" min="2" max="2" width="6.5"/>
    <col customWidth="1" min="3" max="3" width="19.38"/>
    <col customWidth="1" min="4" max="4" width="13.25"/>
    <col customWidth="1" min="5" max="5" width="14.88"/>
    <col customWidth="1" min="6" max="6" width="19.5"/>
    <col customWidth="1" min="7" max="7" width="22.0"/>
    <col customWidth="1" min="8" max="8" width="31.38"/>
    <col customWidth="1" min="9" max="9" width="33.75"/>
  </cols>
  <sheetData>
    <row r="1" ht="78.75" hidden="1" customHeight="1">
      <c r="A1" s="1"/>
      <c r="B1" s="1"/>
      <c r="C1" s="2"/>
      <c r="D1" s="1"/>
      <c r="E1" s="1"/>
      <c r="F1" s="2"/>
      <c r="G1" s="3"/>
      <c r="H1" s="3"/>
      <c r="I1" s="3"/>
    </row>
    <row r="2" ht="78.75" hidden="1" customHeight="1">
      <c r="A2" s="5"/>
      <c r="B2" s="7" t="s">
        <v>4</v>
      </c>
      <c r="C2" s="11"/>
      <c r="D2" s="1"/>
      <c r="E2" s="5"/>
      <c r="F2" s="2"/>
      <c r="G2" s="15"/>
      <c r="H2" s="15"/>
      <c r="I2" s="3"/>
    </row>
    <row r="3" ht="78.75" hidden="1" customHeight="1">
      <c r="A3" s="5"/>
      <c r="B3" s="18"/>
      <c r="C3" s="19"/>
      <c r="D3" s="1"/>
      <c r="E3" s="5"/>
      <c r="F3" s="2"/>
      <c r="G3" s="15"/>
      <c r="H3" s="15"/>
      <c r="I3" s="3"/>
    </row>
    <row r="4" ht="78.75" hidden="1" customHeight="1">
      <c r="A4" s="5"/>
      <c r="B4" s="21"/>
      <c r="C4" s="2"/>
      <c r="D4" s="1"/>
      <c r="E4" s="5"/>
      <c r="F4" s="2"/>
      <c r="G4" s="15"/>
      <c r="H4" s="15"/>
      <c r="I4" s="3"/>
    </row>
    <row r="5">
      <c r="A5" s="22" t="s">
        <v>3</v>
      </c>
      <c r="B5" s="24" t="s">
        <v>8</v>
      </c>
      <c r="C5" s="28" t="s">
        <v>0</v>
      </c>
      <c r="D5" s="24" t="s">
        <v>16</v>
      </c>
      <c r="E5" s="22" t="s">
        <v>21</v>
      </c>
      <c r="F5" s="28" t="s">
        <v>23</v>
      </c>
      <c r="G5" s="32" t="s">
        <v>24</v>
      </c>
      <c r="H5" s="32" t="s">
        <v>25</v>
      </c>
      <c r="I5" s="34" t="s">
        <v>26</v>
      </c>
    </row>
    <row r="6" ht="57.75" customHeight="1">
      <c r="A6" s="36">
        <v>1.0</v>
      </c>
      <c r="B6" s="39" t="str">
        <f t="shared" ref="B6:B11" si="1">"SCN" &amp; A6</f>
        <v>SCN1</v>
      </c>
      <c r="C6" s="2" t="s">
        <v>30</v>
      </c>
      <c r="D6" s="42">
        <f t="shared" ref="D6:D11" si="2"> COUNTIF(C:C,C6)</f>
        <v>4</v>
      </c>
      <c r="E6" s="36">
        <v>1.0</v>
      </c>
      <c r="F6" s="43" t="s">
        <v>31</v>
      </c>
      <c r="G6" s="45" t="s">
        <v>32</v>
      </c>
      <c r="H6" s="45" t="s">
        <v>33</v>
      </c>
      <c r="I6" s="43" t="s">
        <v>35</v>
      </c>
    </row>
    <row r="7" ht="57.75" customHeight="1">
      <c r="A7" s="36">
        <f t="shared" ref="A7:A11" si="3">A6+1</f>
        <v>2</v>
      </c>
      <c r="B7" s="39" t="str">
        <f t="shared" si="1"/>
        <v>SCN2</v>
      </c>
      <c r="C7" s="2" t="s">
        <v>30</v>
      </c>
      <c r="D7" s="42">
        <f t="shared" si="2"/>
        <v>4</v>
      </c>
      <c r="E7" s="36">
        <v>2.0</v>
      </c>
      <c r="F7" s="43" t="s">
        <v>41</v>
      </c>
      <c r="G7" s="45" t="s">
        <v>42</v>
      </c>
      <c r="H7" s="56" t="s">
        <v>43</v>
      </c>
      <c r="I7" s="43" t="s">
        <v>44</v>
      </c>
    </row>
    <row r="8" ht="57.75" customHeight="1">
      <c r="A8" s="36">
        <f t="shared" si="3"/>
        <v>3</v>
      </c>
      <c r="B8" s="39" t="str">
        <f t="shared" si="1"/>
        <v>SCN3</v>
      </c>
      <c r="C8" s="2" t="s">
        <v>30</v>
      </c>
      <c r="D8" s="42">
        <f t="shared" si="2"/>
        <v>4</v>
      </c>
      <c r="E8" s="36">
        <v>3.0</v>
      </c>
      <c r="F8" s="43" t="s">
        <v>46</v>
      </c>
      <c r="G8" s="45" t="s">
        <v>47</v>
      </c>
      <c r="H8" s="56" t="s">
        <v>48</v>
      </c>
      <c r="I8" s="43" t="s">
        <v>49</v>
      </c>
    </row>
    <row r="9" ht="57.75" customHeight="1">
      <c r="A9" s="36">
        <f t="shared" si="3"/>
        <v>4</v>
      </c>
      <c r="B9" s="39" t="str">
        <f t="shared" si="1"/>
        <v>SCN4</v>
      </c>
      <c r="C9" s="2" t="s">
        <v>30</v>
      </c>
      <c r="D9" s="42">
        <f t="shared" si="2"/>
        <v>4</v>
      </c>
      <c r="E9" s="36">
        <v>4.0</v>
      </c>
      <c r="F9" s="43" t="s">
        <v>53</v>
      </c>
      <c r="G9" s="45" t="s">
        <v>55</v>
      </c>
      <c r="H9" s="56" t="s">
        <v>56</v>
      </c>
      <c r="I9" s="43" t="s">
        <v>57</v>
      </c>
    </row>
    <row r="10" ht="57.75" customHeight="1">
      <c r="A10" s="36">
        <f t="shared" si="3"/>
        <v>5</v>
      </c>
      <c r="B10" s="39" t="str">
        <f t="shared" si="1"/>
        <v>SCN5</v>
      </c>
      <c r="C10" s="2" t="s">
        <v>59</v>
      </c>
      <c r="D10" s="42">
        <f t="shared" si="2"/>
        <v>1</v>
      </c>
      <c r="E10" s="36">
        <v>1.0</v>
      </c>
      <c r="F10" s="43" t="s">
        <v>60</v>
      </c>
      <c r="G10" s="45" t="s">
        <v>61</v>
      </c>
      <c r="H10" s="56" t="s">
        <v>62</v>
      </c>
      <c r="I10" s="57" t="s">
        <v>63</v>
      </c>
    </row>
    <row r="11" ht="57.75" customHeight="1">
      <c r="A11" s="36">
        <f t="shared" si="3"/>
        <v>6</v>
      </c>
      <c r="B11" s="39" t="str">
        <f t="shared" si="1"/>
        <v>SCN6</v>
      </c>
      <c r="C11" s="2" t="s">
        <v>68</v>
      </c>
      <c r="D11" s="42">
        <f t="shared" si="2"/>
        <v>1</v>
      </c>
      <c r="E11" s="36"/>
      <c r="F11" s="43"/>
      <c r="G11" s="45"/>
      <c r="H11" s="56"/>
      <c r="I11" s="59"/>
    </row>
    <row r="12" ht="24.75" customHeight="1">
      <c r="A12" s="60"/>
      <c r="B12" s="60" t="s">
        <v>70</v>
      </c>
      <c r="C12" s="62">
        <f>COUNTA(Scenses[Episode])</f>
        <v>6</v>
      </c>
      <c r="D12" s="63"/>
      <c r="E12" s="63"/>
      <c r="F12" s="64"/>
      <c r="G12" s="64"/>
      <c r="H12" s="64"/>
      <c r="I12" s="62"/>
    </row>
  </sheetData>
  <mergeCells count="1">
    <mergeCell ref="B2:C3"/>
  </mergeCells>
  <dataValidations>
    <dataValidation type="list" allowBlank="1" sqref="C6:C11">
      <formula1>#REF!</formula1>
    </dataValidation>
    <dataValidation allowBlank="1" showDropDown="1" sqref="H6:H11"/>
  </dataValidations>
  <hyperlinks>
    <hyperlink r:id="rId1" ref="I10"/>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0.38"/>
  </cols>
  <sheetData>
    <row r="1" ht="22.5" customHeight="1">
      <c r="A1" s="20" t="s">
        <v>8</v>
      </c>
      <c r="B1" s="26" t="s">
        <v>81</v>
      </c>
      <c r="C1" s="65"/>
      <c r="D1" s="65"/>
      <c r="E1" s="65"/>
      <c r="F1" s="65"/>
      <c r="G1" s="65"/>
      <c r="H1" s="65"/>
      <c r="I1" s="65"/>
      <c r="J1" s="65"/>
      <c r="K1" s="65"/>
      <c r="L1" s="65"/>
      <c r="M1" s="65"/>
      <c r="N1" s="65"/>
      <c r="O1" s="65"/>
      <c r="P1" s="65"/>
      <c r="Q1" s="65"/>
      <c r="R1" s="65"/>
      <c r="S1" s="65"/>
      <c r="T1" s="65"/>
      <c r="U1" s="65"/>
      <c r="V1" s="65"/>
      <c r="W1" s="65"/>
      <c r="X1" s="65"/>
      <c r="Y1" s="65"/>
      <c r="Z1" s="65"/>
    </row>
    <row r="2" ht="22.5" customHeight="1">
      <c r="A2" s="66" t="s">
        <v>83</v>
      </c>
      <c r="B2" s="67" t="s">
        <v>36</v>
      </c>
      <c r="C2" s="68"/>
      <c r="D2" s="68"/>
      <c r="E2" s="68"/>
      <c r="F2" s="68"/>
      <c r="G2" s="68"/>
      <c r="H2" s="68"/>
      <c r="I2" s="68"/>
      <c r="J2" s="68"/>
      <c r="K2" s="68"/>
      <c r="L2" s="68"/>
      <c r="M2" s="68"/>
      <c r="N2" s="68"/>
      <c r="O2" s="68"/>
      <c r="P2" s="68"/>
      <c r="Q2" s="68"/>
      <c r="R2" s="68"/>
      <c r="S2" s="68"/>
      <c r="T2" s="68"/>
      <c r="U2" s="68"/>
      <c r="V2" s="68"/>
      <c r="W2" s="68"/>
      <c r="X2" s="68"/>
      <c r="Y2" s="68"/>
      <c r="Z2" s="68"/>
    </row>
    <row r="3" ht="22.5" customHeight="1">
      <c r="A3" s="69" t="s">
        <v>86</v>
      </c>
      <c r="B3" s="70" t="s">
        <v>88</v>
      </c>
      <c r="C3" s="68"/>
      <c r="D3" s="68"/>
      <c r="E3" s="68"/>
      <c r="F3" s="68"/>
      <c r="G3" s="68"/>
      <c r="H3" s="68"/>
      <c r="I3" s="68"/>
      <c r="J3" s="68"/>
      <c r="K3" s="68"/>
      <c r="L3" s="68"/>
      <c r="M3" s="68"/>
      <c r="N3" s="68"/>
      <c r="O3" s="68"/>
      <c r="P3" s="68"/>
      <c r="Q3" s="68"/>
      <c r="R3" s="68"/>
      <c r="S3" s="68"/>
      <c r="T3" s="68"/>
      <c r="U3" s="68"/>
      <c r="V3" s="68"/>
      <c r="W3" s="68"/>
      <c r="X3" s="68"/>
      <c r="Y3" s="68"/>
      <c r="Z3" s="68"/>
    </row>
    <row r="4" ht="22.5" customHeight="1">
      <c r="A4" s="66" t="s">
        <v>90</v>
      </c>
      <c r="B4" s="70" t="s">
        <v>91</v>
      </c>
      <c r="C4" s="68"/>
      <c r="D4" s="68"/>
      <c r="E4" s="68"/>
      <c r="F4" s="68"/>
      <c r="G4" s="68"/>
      <c r="H4" s="68"/>
      <c r="I4" s="68"/>
      <c r="J4" s="68"/>
      <c r="K4" s="68"/>
      <c r="L4" s="68"/>
      <c r="M4" s="68"/>
      <c r="N4" s="68"/>
      <c r="O4" s="68"/>
      <c r="P4" s="68"/>
      <c r="Q4" s="68"/>
      <c r="R4" s="68"/>
      <c r="S4" s="68"/>
      <c r="T4" s="68"/>
      <c r="U4" s="68"/>
      <c r="V4" s="68"/>
      <c r="W4" s="68"/>
      <c r="X4" s="68"/>
      <c r="Y4" s="68"/>
      <c r="Z4" s="68"/>
    </row>
    <row r="5" ht="22.5" customHeight="1">
      <c r="A5" s="69" t="s">
        <v>92</v>
      </c>
      <c r="B5" s="70" t="s">
        <v>93</v>
      </c>
      <c r="C5" s="68"/>
      <c r="D5" s="68"/>
      <c r="E5" s="68"/>
      <c r="F5" s="68"/>
      <c r="G5" s="68"/>
      <c r="H5" s="68"/>
      <c r="I5" s="68"/>
      <c r="J5" s="68"/>
      <c r="K5" s="68"/>
      <c r="L5" s="68"/>
      <c r="M5" s="68"/>
      <c r="N5" s="68"/>
      <c r="O5" s="68"/>
      <c r="P5" s="68"/>
      <c r="Q5" s="68"/>
      <c r="R5" s="68"/>
      <c r="S5" s="68"/>
      <c r="T5" s="68"/>
      <c r="U5" s="68"/>
      <c r="V5" s="68"/>
      <c r="W5" s="68"/>
      <c r="X5" s="68"/>
      <c r="Y5" s="68"/>
      <c r="Z5" s="68"/>
    </row>
    <row r="6" ht="22.5" customHeight="1">
      <c r="A6" s="66" t="s">
        <v>94</v>
      </c>
      <c r="B6" s="70" t="s">
        <v>96</v>
      </c>
      <c r="C6" s="68"/>
      <c r="D6" s="68"/>
      <c r="E6" s="68"/>
      <c r="F6" s="68"/>
      <c r="G6" s="68"/>
      <c r="H6" s="68"/>
      <c r="I6" s="68"/>
      <c r="J6" s="68"/>
      <c r="K6" s="68"/>
      <c r="L6" s="68"/>
      <c r="M6" s="68"/>
      <c r="N6" s="68"/>
      <c r="O6" s="68"/>
      <c r="P6" s="68"/>
      <c r="Q6" s="68"/>
      <c r="R6" s="68"/>
      <c r="S6" s="68"/>
      <c r="T6" s="68"/>
      <c r="U6" s="68"/>
      <c r="V6" s="68"/>
      <c r="W6" s="68"/>
      <c r="X6" s="68"/>
      <c r="Y6" s="68"/>
      <c r="Z6" s="68"/>
    </row>
    <row r="7" ht="22.5" customHeight="1">
      <c r="A7" s="69" t="s">
        <v>100</v>
      </c>
      <c r="B7" s="70" t="s">
        <v>102</v>
      </c>
      <c r="C7" s="68"/>
      <c r="D7" s="68"/>
      <c r="E7" s="68"/>
      <c r="F7" s="68"/>
      <c r="G7" s="68"/>
      <c r="H7" s="68"/>
      <c r="I7" s="68"/>
      <c r="J7" s="68"/>
      <c r="K7" s="68"/>
      <c r="L7" s="68"/>
      <c r="M7" s="68"/>
      <c r="N7" s="68"/>
      <c r="O7" s="68"/>
      <c r="P7" s="68"/>
      <c r="Q7" s="68"/>
      <c r="R7" s="68"/>
      <c r="S7" s="68"/>
      <c r="T7" s="68"/>
      <c r="U7" s="68"/>
      <c r="V7" s="68"/>
      <c r="W7" s="68"/>
      <c r="X7" s="68"/>
      <c r="Y7" s="68"/>
      <c r="Z7" s="68"/>
    </row>
    <row r="8" ht="22.5" customHeight="1">
      <c r="A8" s="66" t="s">
        <v>103</v>
      </c>
      <c r="B8" s="70" t="s">
        <v>104</v>
      </c>
      <c r="C8" s="68"/>
      <c r="D8" s="68"/>
      <c r="E8" s="68"/>
      <c r="F8" s="68"/>
      <c r="G8" s="68"/>
      <c r="H8" s="68"/>
      <c r="I8" s="68"/>
      <c r="J8" s="68"/>
      <c r="K8" s="68"/>
      <c r="L8" s="68"/>
      <c r="M8" s="68"/>
      <c r="N8" s="68"/>
      <c r="O8" s="68"/>
      <c r="P8" s="68"/>
      <c r="Q8" s="68"/>
      <c r="R8" s="68"/>
      <c r="S8" s="68"/>
      <c r="T8" s="68"/>
      <c r="U8" s="68"/>
      <c r="V8" s="68"/>
      <c r="W8" s="68"/>
      <c r="X8" s="68"/>
      <c r="Y8" s="68"/>
      <c r="Z8" s="68"/>
    </row>
    <row r="9" ht="22.5" customHeight="1">
      <c r="A9" s="66" t="s">
        <v>105</v>
      </c>
      <c r="B9" s="70" t="s">
        <v>106</v>
      </c>
      <c r="C9" s="68"/>
      <c r="D9" s="68"/>
      <c r="E9" s="68"/>
      <c r="F9" s="68"/>
      <c r="G9" s="68"/>
      <c r="H9" s="68"/>
      <c r="I9" s="68"/>
      <c r="J9" s="68"/>
      <c r="K9" s="68"/>
      <c r="L9" s="68"/>
      <c r="M9" s="68"/>
      <c r="N9" s="68"/>
      <c r="O9" s="68"/>
      <c r="P9" s="68"/>
      <c r="Q9" s="68"/>
      <c r="R9" s="68"/>
      <c r="S9" s="68"/>
      <c r="T9" s="68"/>
      <c r="U9" s="68"/>
      <c r="V9" s="68"/>
      <c r="W9" s="68"/>
      <c r="X9" s="68"/>
      <c r="Y9" s="68"/>
      <c r="Z9" s="68"/>
    </row>
    <row r="10" ht="22.5" customHeight="1">
      <c r="A10" s="69" t="s">
        <v>107</v>
      </c>
      <c r="B10" s="70" t="s">
        <v>108</v>
      </c>
      <c r="C10" s="68"/>
      <c r="D10" s="68"/>
      <c r="E10" s="68"/>
      <c r="F10" s="68"/>
      <c r="G10" s="68"/>
      <c r="H10" s="68"/>
      <c r="I10" s="68"/>
      <c r="J10" s="68"/>
      <c r="K10" s="68"/>
      <c r="L10" s="68"/>
      <c r="M10" s="68"/>
      <c r="N10" s="68"/>
      <c r="O10" s="68"/>
      <c r="P10" s="68"/>
      <c r="Q10" s="68"/>
      <c r="R10" s="68"/>
      <c r="S10" s="68"/>
      <c r="T10" s="68"/>
      <c r="U10" s="68"/>
      <c r="V10" s="68"/>
      <c r="W10" s="68"/>
      <c r="X10" s="68"/>
      <c r="Y10" s="68"/>
      <c r="Z10" s="68"/>
    </row>
    <row r="11" ht="22.5" customHeight="1">
      <c r="A11" s="66" t="s">
        <v>111</v>
      </c>
      <c r="B11" s="70" t="s">
        <v>112</v>
      </c>
      <c r="C11" s="68"/>
      <c r="D11" s="68"/>
      <c r="E11" s="68"/>
      <c r="F11" s="68"/>
      <c r="G11" s="68"/>
      <c r="H11" s="68"/>
      <c r="I11" s="68"/>
      <c r="J11" s="68"/>
      <c r="K11" s="68"/>
      <c r="L11" s="68"/>
      <c r="M11" s="68"/>
      <c r="N11" s="68"/>
      <c r="O11" s="68"/>
      <c r="P11" s="68"/>
      <c r="Q11" s="68"/>
      <c r="R11" s="68"/>
      <c r="S11" s="68"/>
      <c r="T11" s="68"/>
      <c r="U11" s="68"/>
      <c r="V11" s="68"/>
      <c r="W11" s="68"/>
      <c r="X11" s="68"/>
      <c r="Y11" s="68"/>
      <c r="Z11" s="68"/>
    </row>
    <row r="12">
      <c r="A12" s="68"/>
      <c r="B12" s="68"/>
      <c r="C12" s="68"/>
      <c r="D12" s="68"/>
      <c r="E12" s="68"/>
      <c r="F12" s="68"/>
      <c r="G12" s="68"/>
      <c r="H12" s="68"/>
      <c r="I12" s="68"/>
      <c r="J12" s="68"/>
      <c r="K12" s="68"/>
      <c r="L12" s="68"/>
      <c r="M12" s="68"/>
      <c r="N12" s="68"/>
      <c r="O12" s="68"/>
      <c r="P12" s="68"/>
      <c r="Q12" s="68"/>
      <c r="R12" s="68"/>
      <c r="S12" s="68"/>
      <c r="T12" s="68"/>
      <c r="U12" s="68"/>
      <c r="V12" s="68"/>
      <c r="W12" s="68"/>
      <c r="X12" s="68"/>
      <c r="Y12" s="68"/>
      <c r="Z12" s="68"/>
    </row>
    <row r="13">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row>
    <row r="14">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sheetData>
  <conditionalFormatting sqref="A1:A2 A4 A6 A8:A9 A11">
    <cfRule type="containsText" dxfId="11" priority="1" operator="containsText" text="—">
      <formula>NOT(ISERROR(SEARCH(("—"),(A1))))</formula>
    </cfRule>
  </conditionalFormatting>
  <conditionalFormatting sqref="A1:A2 A4 A6 A8:A9 A11">
    <cfRule type="containsText" dxfId="11" priority="2" operator="containsText" text=" (">
      <formula>NOT(ISERROR(SEARCH((" ("),(A1))))</formula>
    </cfRule>
  </conditionalFormatting>
  <conditionalFormatting sqref="A1:A2 A4 A6 A8:A9 A11">
    <cfRule type="containsBlanks" dxfId="12" priority="3">
      <formula>LEN(TRIM(A1))=0</formula>
    </cfRule>
  </conditionalFormatting>
  <conditionalFormatting sqref="A1:A2 A4 A6 A8:A9 A11">
    <cfRule type="containsText" dxfId="11" priority="4" operator="containsText" text="  and ">
      <formula>NOT(ISERROR(SEARCH(("  and "),(A1))))</formula>
    </cfRule>
  </conditionalFormatting>
  <conditionalFormatting sqref="A1:A2 A4 A6 A8:A9 A11">
    <cfRule type="containsText" dxfId="11" priority="5" operator="containsText" text=", and">
      <formula>NOT(ISERROR(SEARCH((", and"),(A1))))</formula>
    </cfRule>
  </conditionalFormatting>
  <conditionalFormatting sqref="A1:A2 A4 A6 A8:A9 A11">
    <cfRule type="containsText" dxfId="11" priority="6" operator="containsText" text=",and">
      <formula>NOT(ISERROR(SEARCH((",and"),(A1))))</formula>
    </cfRule>
  </conditionalFormatting>
  <conditionalFormatting sqref="A1:A2 A4 A6 A8:A9 A11">
    <cfRule type="cellIs" dxfId="13" priority="7" operator="equal">
      <formula>404</formula>
    </cfRule>
  </conditionalFormatting>
  <dataValidations>
    <dataValidation allowBlank="1" showDropDown="1" sqref="A2:A11"/>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1" width="12.63"/>
    <col customWidth="1" min="4" max="4" width="9.88"/>
    <col customWidth="1" min="5" max="5" width="11.38"/>
    <col customWidth="1" min="6" max="6" width="14.13"/>
    <col customWidth="1" min="7" max="7" width="18.25"/>
  </cols>
  <sheetData>
    <row r="1" ht="22.5" customHeight="1">
      <c r="A1" s="81" t="s">
        <v>3</v>
      </c>
      <c r="B1" s="13" t="s">
        <v>185</v>
      </c>
      <c r="C1" s="13" t="s">
        <v>187</v>
      </c>
      <c r="D1" s="13" t="s">
        <v>81</v>
      </c>
      <c r="E1" s="82" t="s">
        <v>190</v>
      </c>
      <c r="F1" s="83" t="s">
        <v>18</v>
      </c>
      <c r="G1" s="13" t="s">
        <v>191</v>
      </c>
    </row>
    <row r="2" ht="22.5" customHeight="1">
      <c r="A2" s="84">
        <v>1.0</v>
      </c>
      <c r="B2" s="85" t="str">
        <f t="shared" ref="B2:B8" si="1"> "AST" &amp; A2</f>
        <v>AST1</v>
      </c>
      <c r="C2" s="86" t="s">
        <v>193</v>
      </c>
      <c r="D2" s="87" t="s">
        <v>195</v>
      </c>
      <c r="E2" s="88" t="s">
        <v>195</v>
      </c>
      <c r="F2" s="87" t="s">
        <v>195</v>
      </c>
      <c r="G2" s="87" t="s">
        <v>44</v>
      </c>
    </row>
    <row r="3" ht="22.5" customHeight="1">
      <c r="A3" s="89">
        <f>A2 + 1</f>
        <v>2</v>
      </c>
      <c r="B3" s="85" t="str">
        <f t="shared" si="1"/>
        <v>AST2</v>
      </c>
      <c r="C3" s="86" t="s">
        <v>193</v>
      </c>
      <c r="D3" s="87" t="s">
        <v>199</v>
      </c>
      <c r="E3" s="88" t="s">
        <v>199</v>
      </c>
      <c r="F3" s="87" t="s">
        <v>199</v>
      </c>
      <c r="G3" s="87" t="s">
        <v>44</v>
      </c>
    </row>
    <row r="4" ht="22.5" customHeight="1">
      <c r="A4" s="89"/>
      <c r="B4" s="85" t="str">
        <f t="shared" si="1"/>
        <v>AST</v>
      </c>
      <c r="C4" s="86" t="s">
        <v>193</v>
      </c>
      <c r="D4" s="87" t="s">
        <v>203</v>
      </c>
      <c r="E4" s="88" t="s">
        <v>203</v>
      </c>
      <c r="F4" s="87" t="s">
        <v>203</v>
      </c>
      <c r="G4" s="87" t="s">
        <v>44</v>
      </c>
    </row>
    <row r="5" ht="22.5" customHeight="1">
      <c r="A5" s="89"/>
      <c r="B5" s="85" t="str">
        <f t="shared" si="1"/>
        <v>AST</v>
      </c>
      <c r="C5" s="86" t="s">
        <v>193</v>
      </c>
      <c r="D5" s="87" t="s">
        <v>205</v>
      </c>
      <c r="E5" s="88" t="s">
        <v>205</v>
      </c>
      <c r="F5" s="87" t="s">
        <v>205</v>
      </c>
      <c r="G5" s="87" t="s">
        <v>44</v>
      </c>
    </row>
    <row r="6" ht="22.5" customHeight="1">
      <c r="A6" s="89"/>
      <c r="B6" s="85" t="str">
        <f t="shared" si="1"/>
        <v>AST</v>
      </c>
      <c r="C6" s="86" t="s">
        <v>193</v>
      </c>
      <c r="D6" s="87" t="s">
        <v>208</v>
      </c>
      <c r="E6" s="88" t="s">
        <v>208</v>
      </c>
      <c r="F6" s="87" t="s">
        <v>208</v>
      </c>
      <c r="G6" s="87" t="s">
        <v>44</v>
      </c>
    </row>
    <row r="7" ht="22.5" customHeight="1">
      <c r="A7" s="89"/>
      <c r="B7" s="85" t="str">
        <f t="shared" si="1"/>
        <v>AST</v>
      </c>
      <c r="C7" s="86" t="s">
        <v>193</v>
      </c>
      <c r="D7" s="87" t="s">
        <v>209</v>
      </c>
      <c r="E7" s="88" t="s">
        <v>209</v>
      </c>
      <c r="F7" s="87" t="s">
        <v>209</v>
      </c>
      <c r="G7" s="87" t="s">
        <v>44</v>
      </c>
    </row>
    <row r="8" ht="22.5" customHeight="1">
      <c r="A8" s="89"/>
      <c r="B8" s="85" t="str">
        <f t="shared" si="1"/>
        <v>AST</v>
      </c>
      <c r="C8" s="86" t="s">
        <v>193</v>
      </c>
      <c r="D8" s="87" t="s">
        <v>211</v>
      </c>
      <c r="E8" s="88" t="s">
        <v>211</v>
      </c>
      <c r="F8" s="87" t="s">
        <v>211</v>
      </c>
      <c r="G8" s="87" t="s">
        <v>44</v>
      </c>
    </row>
    <row r="9" ht="22.5" customHeight="1">
      <c r="A9" s="89"/>
      <c r="B9" s="85" t="str">
        <f t="shared" ref="B9:B14" si="2"> "AST" &amp; A8</f>
        <v>AST</v>
      </c>
      <c r="C9" s="86" t="s">
        <v>193</v>
      </c>
      <c r="D9" s="87" t="s">
        <v>215</v>
      </c>
      <c r="E9" s="88" t="s">
        <v>215</v>
      </c>
      <c r="F9" s="87" t="s">
        <v>215</v>
      </c>
      <c r="G9" s="87" t="s">
        <v>44</v>
      </c>
    </row>
    <row r="10" ht="22.5" customHeight="1">
      <c r="A10" s="89"/>
      <c r="B10" s="85" t="str">
        <f t="shared" si="2"/>
        <v>AST</v>
      </c>
      <c r="C10" s="86" t="s">
        <v>193</v>
      </c>
      <c r="D10" s="87" t="s">
        <v>218</v>
      </c>
      <c r="E10" s="88" t="s">
        <v>218</v>
      </c>
      <c r="F10" s="87" t="s">
        <v>218</v>
      </c>
      <c r="G10" s="87" t="s">
        <v>44</v>
      </c>
    </row>
    <row r="11" ht="22.5" customHeight="1">
      <c r="A11" s="89"/>
      <c r="B11" s="85" t="str">
        <f t="shared" si="2"/>
        <v>AST</v>
      </c>
      <c r="C11" s="86" t="s">
        <v>193</v>
      </c>
      <c r="D11" s="87" t="s">
        <v>219</v>
      </c>
      <c r="E11" s="88" t="s">
        <v>219</v>
      </c>
      <c r="F11" s="87" t="s">
        <v>219</v>
      </c>
      <c r="G11" s="87" t="s">
        <v>44</v>
      </c>
    </row>
    <row r="12" ht="22.5" customHeight="1">
      <c r="A12" s="89"/>
      <c r="B12" s="85" t="str">
        <f t="shared" si="2"/>
        <v>AST</v>
      </c>
      <c r="C12" s="86" t="s">
        <v>193</v>
      </c>
      <c r="D12" s="87" t="s">
        <v>222</v>
      </c>
      <c r="E12" s="88" t="s">
        <v>222</v>
      </c>
      <c r="F12" s="87" t="s">
        <v>222</v>
      </c>
      <c r="G12" s="87" t="s">
        <v>44</v>
      </c>
    </row>
    <row r="13" ht="22.5" customHeight="1">
      <c r="A13" s="89"/>
      <c r="B13" s="85" t="str">
        <f t="shared" si="2"/>
        <v>AST</v>
      </c>
      <c r="C13" s="86" t="s">
        <v>193</v>
      </c>
      <c r="D13" s="87" t="s">
        <v>224</v>
      </c>
      <c r="E13" s="88" t="s">
        <v>224</v>
      </c>
      <c r="F13" s="87" t="s">
        <v>224</v>
      </c>
      <c r="G13" s="87" t="s">
        <v>44</v>
      </c>
    </row>
    <row r="14" ht="22.5" customHeight="1">
      <c r="A14" s="89"/>
      <c r="B14" s="85" t="str">
        <f t="shared" si="2"/>
        <v>AST</v>
      </c>
      <c r="C14" s="86" t="s">
        <v>193</v>
      </c>
      <c r="D14" s="87" t="s">
        <v>226</v>
      </c>
      <c r="E14" s="88" t="s">
        <v>226</v>
      </c>
      <c r="F14" s="87" t="s">
        <v>226</v>
      </c>
      <c r="G14" s="87"/>
    </row>
    <row r="15" ht="22.5" customHeight="1">
      <c r="A15" s="89"/>
      <c r="B15" s="85" t="str">
        <f t="shared" ref="B15:B25" si="3"> "AST" &amp; A13</f>
        <v>AST</v>
      </c>
      <c r="C15" s="86" t="s">
        <v>193</v>
      </c>
      <c r="D15" s="87" t="s">
        <v>227</v>
      </c>
      <c r="E15" s="88" t="s">
        <v>227</v>
      </c>
      <c r="F15" s="87" t="s">
        <v>227</v>
      </c>
      <c r="G15" s="87" t="s">
        <v>44</v>
      </c>
    </row>
    <row r="16" ht="22.5" customHeight="1">
      <c r="A16" s="89"/>
      <c r="B16" s="85" t="str">
        <f t="shared" si="3"/>
        <v>AST</v>
      </c>
      <c r="C16" s="86" t="s">
        <v>193</v>
      </c>
      <c r="D16" s="87" t="s">
        <v>230</v>
      </c>
      <c r="E16" s="88" t="s">
        <v>230</v>
      </c>
      <c r="F16" s="87" t="s">
        <v>230</v>
      </c>
      <c r="G16" s="87" t="s">
        <v>44</v>
      </c>
    </row>
    <row r="17" ht="22.5" customHeight="1">
      <c r="A17" s="89"/>
      <c r="B17" s="92" t="str">
        <f t="shared" si="3"/>
        <v>AST</v>
      </c>
      <c r="C17" s="93"/>
      <c r="D17" s="94"/>
      <c r="E17" s="95" t="s">
        <v>234</v>
      </c>
      <c r="F17" s="94"/>
      <c r="G17" s="94"/>
    </row>
    <row r="18" ht="22.5" customHeight="1">
      <c r="A18" s="89"/>
      <c r="B18" s="92" t="str">
        <f t="shared" si="3"/>
        <v>AST</v>
      </c>
      <c r="C18" s="93"/>
      <c r="D18" s="94" t="s">
        <v>236</v>
      </c>
      <c r="E18" s="95" t="s">
        <v>237</v>
      </c>
      <c r="F18" s="94"/>
      <c r="G18" s="94"/>
    </row>
    <row r="19" ht="22.5" customHeight="1">
      <c r="A19" s="89"/>
      <c r="B19" s="92" t="str">
        <f t="shared" si="3"/>
        <v>AST</v>
      </c>
      <c r="C19" s="93"/>
      <c r="D19" s="94"/>
      <c r="E19" s="95" t="s">
        <v>238</v>
      </c>
      <c r="F19" s="94"/>
      <c r="G19" s="94"/>
    </row>
    <row r="20" ht="22.5" customHeight="1">
      <c r="A20" s="89"/>
      <c r="B20" s="92" t="str">
        <f t="shared" si="3"/>
        <v>AST</v>
      </c>
      <c r="C20" s="93"/>
      <c r="D20" s="94"/>
      <c r="E20" s="95" t="s">
        <v>240</v>
      </c>
      <c r="F20" s="94"/>
      <c r="G20" s="94"/>
    </row>
    <row r="21" ht="22.5" customHeight="1">
      <c r="A21" s="89"/>
      <c r="B21" s="92" t="str">
        <f t="shared" si="3"/>
        <v>AST</v>
      </c>
      <c r="C21" s="93"/>
      <c r="D21" s="94"/>
      <c r="E21" s="95" t="s">
        <v>243</v>
      </c>
      <c r="F21" s="94" t="s">
        <v>244</v>
      </c>
      <c r="G21" s="94"/>
    </row>
    <row r="22" ht="22.5" customHeight="1">
      <c r="A22" s="89"/>
      <c r="B22" s="92" t="str">
        <f t="shared" si="3"/>
        <v>AST</v>
      </c>
      <c r="C22" s="93"/>
      <c r="D22" s="94"/>
      <c r="E22" s="95" t="s">
        <v>246</v>
      </c>
      <c r="F22" s="94"/>
      <c r="G22" s="94"/>
    </row>
    <row r="23" ht="22.5" customHeight="1">
      <c r="A23" s="89"/>
      <c r="B23" s="92" t="str">
        <f t="shared" si="3"/>
        <v>AST</v>
      </c>
      <c r="C23" s="93"/>
      <c r="D23" s="94"/>
      <c r="E23" s="95" t="s">
        <v>249</v>
      </c>
      <c r="F23" s="94"/>
      <c r="G23" s="94"/>
    </row>
    <row r="24" ht="22.5" customHeight="1">
      <c r="A24" s="89"/>
      <c r="B24" s="92" t="str">
        <f t="shared" si="3"/>
        <v>AST</v>
      </c>
      <c r="C24" s="93"/>
      <c r="D24" s="94"/>
      <c r="E24" s="95" t="s">
        <v>251</v>
      </c>
      <c r="F24" s="94"/>
      <c r="G24" s="95"/>
    </row>
    <row r="25" ht="22.5" customHeight="1">
      <c r="A25" s="89"/>
      <c r="B25" s="92" t="str">
        <f t="shared" si="3"/>
        <v>AST</v>
      </c>
      <c r="C25" s="93"/>
      <c r="D25" s="94"/>
      <c r="E25" s="95" t="s">
        <v>253</v>
      </c>
      <c r="F25" s="94"/>
      <c r="G25" s="94"/>
    </row>
  </sheetData>
  <dataValidations>
    <dataValidation type="list" allowBlank="1" sqref="C2:C25">
      <formula1>"Image,Font,Emojie,Not Listed"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41.75"/>
    <col customWidth="1" min="3" max="3" width="48.5"/>
    <col customWidth="1" min="4" max="4" width="131.25"/>
  </cols>
  <sheetData>
    <row r="1" ht="22.5" customHeight="1">
      <c r="A1" s="20" t="s">
        <v>0</v>
      </c>
      <c r="B1" s="23" t="s">
        <v>15</v>
      </c>
      <c r="C1" s="26" t="s">
        <v>257</v>
      </c>
      <c r="D1" s="10" t="s">
        <v>258</v>
      </c>
      <c r="E1" s="97"/>
      <c r="F1" s="97"/>
      <c r="G1" s="97"/>
      <c r="H1" s="97"/>
      <c r="I1" s="97"/>
      <c r="J1" s="97"/>
      <c r="K1" s="97"/>
      <c r="L1" s="97"/>
      <c r="M1" s="97"/>
      <c r="N1" s="97"/>
      <c r="O1" s="97"/>
      <c r="P1" s="97"/>
      <c r="Q1" s="97"/>
      <c r="R1" s="97"/>
      <c r="S1" s="97"/>
      <c r="T1" s="97"/>
      <c r="U1" s="97"/>
      <c r="V1" s="97"/>
      <c r="W1" s="97"/>
      <c r="X1" s="97"/>
      <c r="Y1" s="97"/>
      <c r="Z1" s="97"/>
    </row>
    <row r="2" ht="39.0" customHeight="1">
      <c r="A2" s="98" t="s">
        <v>261</v>
      </c>
      <c r="B2" s="99"/>
      <c r="C2" s="67"/>
      <c r="D2" s="100"/>
      <c r="E2" s="68"/>
      <c r="F2" s="68"/>
      <c r="G2" s="68"/>
      <c r="H2" s="68"/>
      <c r="I2" s="68"/>
      <c r="J2" s="68"/>
      <c r="K2" s="68"/>
      <c r="L2" s="68"/>
      <c r="M2" s="68"/>
      <c r="N2" s="68"/>
      <c r="O2" s="68"/>
      <c r="P2" s="68"/>
      <c r="Q2" s="68"/>
      <c r="R2" s="68"/>
      <c r="S2" s="68"/>
      <c r="T2" s="68"/>
      <c r="U2" s="68"/>
      <c r="V2" s="68"/>
      <c r="W2" s="68"/>
      <c r="X2" s="68"/>
      <c r="Y2" s="68"/>
      <c r="Z2" s="68"/>
    </row>
    <row r="3">
      <c r="A3" s="68"/>
      <c r="B3" s="68"/>
      <c r="C3" s="68"/>
      <c r="D3" s="68"/>
      <c r="E3" s="68"/>
      <c r="F3" s="68"/>
      <c r="G3" s="68"/>
      <c r="H3" s="68"/>
      <c r="I3" s="68"/>
      <c r="J3" s="68"/>
      <c r="K3" s="68"/>
      <c r="L3" s="68"/>
      <c r="M3" s="68"/>
      <c r="N3" s="68"/>
      <c r="O3" s="68"/>
      <c r="P3" s="68"/>
      <c r="Q3" s="68"/>
      <c r="R3" s="68"/>
      <c r="S3" s="68"/>
      <c r="T3" s="68"/>
      <c r="U3" s="68"/>
      <c r="V3" s="68"/>
      <c r="W3" s="68"/>
      <c r="X3" s="68"/>
      <c r="Y3" s="68"/>
      <c r="Z3" s="68"/>
    </row>
    <row r="4">
      <c r="A4" s="68"/>
      <c r="B4" s="68"/>
      <c r="C4" s="68"/>
      <c r="D4" s="68"/>
      <c r="E4" s="68"/>
      <c r="F4" s="68"/>
      <c r="G4" s="68"/>
      <c r="H4" s="68"/>
      <c r="I4" s="68"/>
      <c r="J4" s="68"/>
      <c r="K4" s="68"/>
      <c r="L4" s="68"/>
      <c r="M4" s="68"/>
      <c r="N4" s="68"/>
      <c r="O4" s="68"/>
      <c r="P4" s="68"/>
      <c r="Q4" s="68"/>
      <c r="R4" s="68"/>
      <c r="S4" s="68"/>
      <c r="T4" s="68"/>
      <c r="U4" s="68"/>
      <c r="V4" s="68"/>
      <c r="W4" s="68"/>
      <c r="X4" s="68"/>
      <c r="Y4" s="68"/>
      <c r="Z4" s="68"/>
    </row>
    <row r="5">
      <c r="A5" s="68"/>
      <c r="B5" s="68"/>
      <c r="C5" s="68"/>
      <c r="D5" s="68"/>
      <c r="E5" s="68"/>
      <c r="F5" s="68"/>
      <c r="G5" s="68"/>
      <c r="H5" s="68"/>
      <c r="I5" s="68"/>
      <c r="J5" s="68"/>
      <c r="K5" s="68"/>
      <c r="L5" s="68"/>
      <c r="M5" s="68"/>
      <c r="N5" s="68"/>
      <c r="O5" s="68"/>
      <c r="P5" s="68"/>
      <c r="Q5" s="68"/>
      <c r="R5" s="68"/>
      <c r="S5" s="68"/>
      <c r="T5" s="68"/>
      <c r="U5" s="68"/>
      <c r="V5" s="68"/>
      <c r="W5" s="68"/>
      <c r="X5" s="68"/>
      <c r="Y5" s="68"/>
      <c r="Z5" s="68"/>
    </row>
    <row r="6">
      <c r="A6" s="68"/>
      <c r="B6" s="68"/>
      <c r="C6" s="68"/>
      <c r="D6" s="68"/>
      <c r="E6" s="68"/>
      <c r="F6" s="68"/>
      <c r="G6" s="68"/>
      <c r="H6" s="68"/>
      <c r="I6" s="68"/>
      <c r="J6" s="68"/>
      <c r="K6" s="68"/>
      <c r="L6" s="68"/>
      <c r="M6" s="68"/>
      <c r="N6" s="68"/>
      <c r="O6" s="68"/>
      <c r="P6" s="68"/>
      <c r="Q6" s="68"/>
      <c r="R6" s="68"/>
      <c r="S6" s="68"/>
      <c r="T6" s="68"/>
      <c r="U6" s="68"/>
      <c r="V6" s="68"/>
      <c r="W6" s="68"/>
      <c r="X6" s="68"/>
      <c r="Y6" s="68"/>
      <c r="Z6" s="68"/>
    </row>
    <row r="7">
      <c r="A7" s="68"/>
      <c r="B7" s="68"/>
      <c r="C7" s="68"/>
      <c r="D7" s="68"/>
      <c r="E7" s="68"/>
      <c r="F7" s="68"/>
      <c r="G7" s="68"/>
      <c r="H7" s="68"/>
      <c r="I7" s="68"/>
      <c r="J7" s="68"/>
      <c r="K7" s="68"/>
      <c r="L7" s="68"/>
      <c r="M7" s="68"/>
      <c r="N7" s="68"/>
      <c r="O7" s="68"/>
      <c r="P7" s="68"/>
      <c r="Q7" s="68"/>
      <c r="R7" s="68"/>
      <c r="S7" s="68"/>
      <c r="T7" s="68"/>
      <c r="U7" s="68"/>
      <c r="V7" s="68"/>
      <c r="W7" s="68"/>
      <c r="X7" s="68"/>
      <c r="Y7" s="68"/>
      <c r="Z7" s="68"/>
    </row>
    <row r="8">
      <c r="A8" s="68"/>
      <c r="B8" s="68"/>
      <c r="C8" s="68"/>
      <c r="D8" s="68"/>
      <c r="E8" s="68"/>
      <c r="F8" s="68"/>
      <c r="G8" s="68"/>
      <c r="H8" s="68"/>
      <c r="I8" s="68"/>
      <c r="J8" s="68"/>
      <c r="K8" s="68"/>
      <c r="L8" s="68"/>
      <c r="M8" s="68"/>
      <c r="N8" s="68"/>
      <c r="O8" s="68"/>
      <c r="P8" s="68"/>
      <c r="Q8" s="68"/>
      <c r="R8" s="68"/>
      <c r="S8" s="68"/>
      <c r="T8" s="68"/>
      <c r="U8" s="68"/>
      <c r="V8" s="68"/>
      <c r="W8" s="68"/>
      <c r="X8" s="68"/>
      <c r="Y8" s="68"/>
      <c r="Z8" s="68"/>
    </row>
    <row r="9">
      <c r="A9" s="68"/>
      <c r="B9" s="68"/>
      <c r="C9" s="68"/>
      <c r="D9" s="68"/>
      <c r="E9" s="68"/>
      <c r="F9" s="68"/>
      <c r="G9" s="68"/>
      <c r="H9" s="68"/>
      <c r="I9" s="68"/>
      <c r="J9" s="68"/>
      <c r="K9" s="68"/>
      <c r="L9" s="68"/>
      <c r="M9" s="68"/>
      <c r="N9" s="68"/>
      <c r="O9" s="68"/>
      <c r="P9" s="68"/>
      <c r="Q9" s="68"/>
      <c r="R9" s="68"/>
      <c r="S9" s="68"/>
      <c r="T9" s="68"/>
      <c r="U9" s="68"/>
      <c r="V9" s="68"/>
      <c r="W9" s="68"/>
      <c r="X9" s="68"/>
      <c r="Y9" s="68"/>
      <c r="Z9" s="68"/>
    </row>
    <row r="10">
      <c r="A10" s="68"/>
      <c r="B10" s="68"/>
      <c r="C10" s="68"/>
      <c r="D10" s="68"/>
      <c r="E10" s="68"/>
      <c r="F10" s="68"/>
      <c r="G10" s="68"/>
      <c r="H10" s="68"/>
      <c r="I10" s="68"/>
      <c r="J10" s="68"/>
      <c r="K10" s="68"/>
      <c r="L10" s="68"/>
      <c r="M10" s="68"/>
      <c r="N10" s="68"/>
      <c r="O10" s="68"/>
      <c r="P10" s="68"/>
      <c r="Q10" s="68"/>
      <c r="R10" s="68"/>
      <c r="S10" s="68"/>
      <c r="T10" s="68"/>
      <c r="U10" s="68"/>
      <c r="V10" s="68"/>
      <c r="W10" s="68"/>
      <c r="X10" s="68"/>
      <c r="Y10" s="68"/>
      <c r="Z10" s="68"/>
    </row>
    <row r="11">
      <c r="A11" s="68"/>
      <c r="B11" s="68"/>
      <c r="C11" s="68"/>
      <c r="D11" s="68"/>
      <c r="E11" s="68"/>
      <c r="F11" s="68"/>
      <c r="G11" s="68"/>
      <c r="H11" s="68"/>
      <c r="I11" s="68"/>
      <c r="J11" s="68"/>
      <c r="K11" s="68"/>
      <c r="L11" s="68"/>
      <c r="M11" s="68"/>
      <c r="N11" s="68"/>
      <c r="O11" s="68"/>
      <c r="P11" s="68"/>
      <c r="Q11" s="68"/>
      <c r="R11" s="68"/>
      <c r="S11" s="68"/>
      <c r="T11" s="68"/>
      <c r="U11" s="68"/>
      <c r="V11" s="68"/>
      <c r="W11" s="68"/>
      <c r="X11" s="68"/>
      <c r="Y11" s="68"/>
      <c r="Z11" s="68"/>
    </row>
    <row r="12">
      <c r="A12" s="68"/>
      <c r="B12" s="68"/>
      <c r="C12" s="68"/>
      <c r="D12" s="68"/>
      <c r="E12" s="68"/>
      <c r="F12" s="68"/>
      <c r="G12" s="68"/>
      <c r="H12" s="68"/>
      <c r="I12" s="68"/>
      <c r="J12" s="68"/>
      <c r="K12" s="68"/>
      <c r="L12" s="68"/>
      <c r="M12" s="68"/>
      <c r="N12" s="68"/>
      <c r="O12" s="68"/>
      <c r="P12" s="68"/>
      <c r="Q12" s="68"/>
      <c r="R12" s="68"/>
      <c r="S12" s="68"/>
      <c r="T12" s="68"/>
      <c r="U12" s="68"/>
      <c r="V12" s="68"/>
      <c r="W12" s="68"/>
      <c r="X12" s="68"/>
      <c r="Y12" s="68"/>
      <c r="Z12" s="68"/>
    </row>
    <row r="13">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row>
    <row r="14">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sheetData>
  <conditionalFormatting sqref="A1:B2 D1:D2">
    <cfRule type="containsText" dxfId="11" priority="1" operator="containsText" text="—">
      <formula>NOT(ISERROR(SEARCH(("—"),(A1))))</formula>
    </cfRule>
  </conditionalFormatting>
  <conditionalFormatting sqref="A1:B2 D1:D2">
    <cfRule type="containsText" dxfId="11" priority="2" operator="containsText" text=" (">
      <formula>NOT(ISERROR(SEARCH((" ("),(A1))))</formula>
    </cfRule>
  </conditionalFormatting>
  <conditionalFormatting sqref="A1:B2 D1:D2">
    <cfRule type="containsBlanks" dxfId="12" priority="3">
      <formula>LEN(TRIM(A1))=0</formula>
    </cfRule>
  </conditionalFormatting>
  <conditionalFormatting sqref="A1:B2 D1:D2">
    <cfRule type="containsText" dxfId="11" priority="4" operator="containsText" text="  and ">
      <formula>NOT(ISERROR(SEARCH(("  and "),(A1))))</formula>
    </cfRule>
  </conditionalFormatting>
  <conditionalFormatting sqref="A1:B2 D1:D2">
    <cfRule type="containsText" dxfId="11" priority="5" operator="containsText" text=", and">
      <formula>NOT(ISERROR(SEARCH((", and"),(A1))))</formula>
    </cfRule>
  </conditionalFormatting>
  <conditionalFormatting sqref="A1:B2 D1:D2">
    <cfRule type="containsText" dxfId="11" priority="6" operator="containsText" text=",and">
      <formula>NOT(ISERROR(SEARCH((",and"),(A1))))</formula>
    </cfRule>
  </conditionalFormatting>
  <conditionalFormatting sqref="A1:B2 D1:D2">
    <cfRule type="cellIs" dxfId="13" priority="7" operator="equal">
      <formula>404</formula>
    </cfRule>
  </conditionalFormatting>
  <dataValidations>
    <dataValidation type="list" allowBlank="1" sqref="A2">
      <formula1>#REF!</formula1>
    </dataValidation>
    <dataValidation type="list" allowBlank="1" sqref="B2">
      <formula1>#REF!</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25"/>
    <col customWidth="1" min="2" max="2" width="15.25"/>
    <col customWidth="1" min="3" max="3" width="23.5"/>
    <col customWidth="1" min="4" max="4" width="26.25"/>
    <col customWidth="1" min="5" max="5" width="12.13"/>
    <col customWidth="1" min="6" max="6" width="22.75"/>
  </cols>
  <sheetData>
    <row r="1" ht="22.5" customHeight="1">
      <c r="A1" s="101" t="s">
        <v>8</v>
      </c>
      <c r="B1" s="101" t="s">
        <v>281</v>
      </c>
      <c r="C1" s="102" t="s">
        <v>5</v>
      </c>
      <c r="D1" s="103" t="s">
        <v>18</v>
      </c>
      <c r="E1" s="94" t="s">
        <v>283</v>
      </c>
      <c r="F1" s="104" t="s">
        <v>284</v>
      </c>
      <c r="G1" s="89"/>
      <c r="H1" s="89"/>
      <c r="I1" s="89"/>
      <c r="J1" s="89"/>
      <c r="K1" s="89"/>
      <c r="L1" s="89"/>
      <c r="M1" s="89"/>
      <c r="N1" s="89"/>
      <c r="O1" s="89"/>
      <c r="P1" s="89"/>
      <c r="Q1" s="89"/>
      <c r="R1" s="89"/>
      <c r="S1" s="89"/>
    </row>
    <row r="2" ht="47.25" customHeight="1">
      <c r="A2" s="105" t="s">
        <v>286</v>
      </c>
      <c r="B2" s="105" t="s">
        <v>19</v>
      </c>
      <c r="C2" s="106" t="s">
        <v>287</v>
      </c>
      <c r="D2" s="107" t="s">
        <v>290</v>
      </c>
      <c r="E2" s="108" t="s">
        <v>292</v>
      </c>
      <c r="F2" s="109" t="str">
        <f>HYPERLINK("https://www.youtube.com/playlist?list=PLZJ5LX101rX0")</f>
        <v>https://www.youtube.com/playlist?list=PLZJ5LX101rX0</v>
      </c>
      <c r="G2" s="110"/>
      <c r="H2" s="110"/>
      <c r="I2" s="110"/>
      <c r="J2" s="110"/>
      <c r="K2" s="110"/>
      <c r="L2" s="110"/>
      <c r="M2" s="110"/>
      <c r="N2" s="110"/>
      <c r="O2" s="110"/>
      <c r="P2" s="110"/>
      <c r="Q2" s="110"/>
      <c r="R2" s="110"/>
      <c r="S2" s="110"/>
    </row>
    <row r="3" ht="47.25" customHeight="1">
      <c r="A3" s="105" t="s">
        <v>293</v>
      </c>
      <c r="B3" s="105" t="s">
        <v>294</v>
      </c>
      <c r="C3" s="111" t="s">
        <v>296</v>
      </c>
      <c r="D3" s="107" t="s">
        <v>298</v>
      </c>
      <c r="E3" s="108" t="s">
        <v>299</v>
      </c>
      <c r="F3" s="109" t="str">
        <f>HYPERLINK("https://www.youtube.com/playlist?list=PLQETPy4tSsME")</f>
        <v>https://www.youtube.com/playlist?list=PLQETPy4tSsME</v>
      </c>
      <c r="G3" s="110"/>
      <c r="H3" s="110"/>
      <c r="I3" s="110"/>
      <c r="J3" s="110"/>
      <c r="K3" s="110"/>
      <c r="L3" s="110"/>
      <c r="M3" s="110"/>
      <c r="N3" s="110"/>
      <c r="O3" s="110"/>
      <c r="P3" s="110"/>
      <c r="Q3" s="110"/>
      <c r="R3" s="110"/>
      <c r="S3" s="110"/>
    </row>
    <row r="4" ht="47.25" customHeight="1">
      <c r="A4" s="105" t="s">
        <v>302</v>
      </c>
      <c r="B4" s="105" t="s">
        <v>231</v>
      </c>
      <c r="C4" s="106" t="s">
        <v>231</v>
      </c>
      <c r="D4" s="112" t="s">
        <v>306</v>
      </c>
      <c r="E4" s="108" t="s">
        <v>299</v>
      </c>
      <c r="F4" s="109" t="str">
        <f>HYPERLINK("https://www.youtube.com/playlist?list=PLMG4RCtlrh18")</f>
        <v>https://www.youtube.com/playlist?list=PLMG4RCtlrh18</v>
      </c>
      <c r="G4" s="110"/>
      <c r="H4" s="110"/>
      <c r="I4" s="110"/>
      <c r="J4" s="110"/>
      <c r="K4" s="110"/>
      <c r="L4" s="110"/>
      <c r="M4" s="110"/>
      <c r="N4" s="110"/>
      <c r="O4" s="110"/>
      <c r="P4" s="110"/>
      <c r="Q4" s="110"/>
      <c r="R4" s="110"/>
      <c r="S4" s="110"/>
    </row>
    <row r="5" ht="18.75" customHeight="1">
      <c r="A5" s="113"/>
      <c r="B5" s="113"/>
      <c r="C5" s="114"/>
      <c r="D5" s="113"/>
      <c r="E5" s="113"/>
      <c r="F5" s="115"/>
      <c r="G5" s="110"/>
      <c r="H5" s="110"/>
      <c r="I5" s="110"/>
      <c r="J5" s="110"/>
      <c r="K5" s="110"/>
      <c r="L5" s="110"/>
      <c r="M5" s="110"/>
      <c r="N5" s="110"/>
      <c r="O5" s="110"/>
      <c r="P5" s="110"/>
      <c r="Q5" s="110"/>
      <c r="R5" s="110"/>
      <c r="S5" s="110"/>
    </row>
  </sheetData>
  <dataValidations>
    <dataValidation type="list" allowBlank="1" sqref="E2:E4">
      <formula1>"course,Play List"</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5"/>
    <col customWidth="1" min="2" max="2" width="55.75"/>
    <col customWidth="1" min="3" max="3" width="15.13"/>
    <col customWidth="1" min="4" max="4" width="18.88"/>
    <col customWidth="1" min="5" max="5" width="14.5"/>
    <col customWidth="1" min="6" max="6" width="12.75"/>
    <col customWidth="1" min="7" max="7" width="13.0"/>
    <col customWidth="1" min="8" max="8" width="21.88"/>
  </cols>
  <sheetData>
    <row r="1" ht="22.5" customHeight="1">
      <c r="A1" s="116" t="s">
        <v>316</v>
      </c>
      <c r="B1" s="116" t="s">
        <v>18</v>
      </c>
      <c r="C1" s="116" t="s">
        <v>20</v>
      </c>
      <c r="D1" s="116" t="s">
        <v>28</v>
      </c>
      <c r="E1" s="116" t="s">
        <v>317</v>
      </c>
      <c r="F1" s="116" t="s">
        <v>319</v>
      </c>
      <c r="G1" s="116" t="s">
        <v>320</v>
      </c>
      <c r="H1" s="116" t="s">
        <v>29</v>
      </c>
    </row>
    <row r="2" ht="22.5" customHeight="1">
      <c r="A2" s="117" t="s">
        <v>323</v>
      </c>
      <c r="B2" s="117" t="s">
        <v>324</v>
      </c>
      <c r="C2" s="118">
        <v>404.0</v>
      </c>
      <c r="D2" s="119"/>
      <c r="E2" s="120" t="b">
        <v>0</v>
      </c>
      <c r="F2" s="121" t="b">
        <v>0</v>
      </c>
      <c r="G2" s="122">
        <f>Countif(Scenses[Episode],#REF!)</f>
        <v>0</v>
      </c>
      <c r="H2" s="118">
        <v>404.0</v>
      </c>
    </row>
    <row r="3" ht="22.5" customHeight="1">
      <c r="A3" s="117" t="s">
        <v>328</v>
      </c>
      <c r="B3" s="118" t="s">
        <v>330</v>
      </c>
      <c r="C3" s="118" t="s">
        <v>332</v>
      </c>
      <c r="D3" s="119"/>
      <c r="E3" s="120" t="b">
        <v>1</v>
      </c>
      <c r="F3" s="121" t="b">
        <v>0</v>
      </c>
      <c r="G3" s="120">
        <f>Countif(Scenses[Episode],#REF!)</f>
        <v>0</v>
      </c>
      <c r="H3" s="118" t="s">
        <v>334</v>
      </c>
    </row>
    <row r="4" ht="22.5" customHeight="1">
      <c r="A4" s="123" t="s">
        <v>336</v>
      </c>
      <c r="B4" s="123" t="s">
        <v>338</v>
      </c>
      <c r="C4" s="123" t="s">
        <v>340</v>
      </c>
      <c r="D4" s="119"/>
      <c r="E4" s="120" t="b">
        <v>1</v>
      </c>
      <c r="F4" s="121" t="b">
        <v>0</v>
      </c>
      <c r="G4" s="120">
        <f>Countif(Scenses[Episode],#REF!)</f>
        <v>0</v>
      </c>
      <c r="H4" s="123" t="s">
        <v>341</v>
      </c>
    </row>
    <row r="5" ht="22.5" customHeight="1">
      <c r="A5" s="118">
        <v>404.0</v>
      </c>
      <c r="B5" s="118" t="s">
        <v>342</v>
      </c>
      <c r="C5" s="118">
        <v>404.0</v>
      </c>
      <c r="D5" s="124" t="s">
        <v>337</v>
      </c>
      <c r="E5" s="120" t="b">
        <v>0</v>
      </c>
      <c r="F5" s="121" t="b">
        <v>0</v>
      </c>
      <c r="G5" s="120">
        <f>Countif(Scenses[Episode],#REF!)</f>
        <v>0</v>
      </c>
      <c r="H5" s="118">
        <v>404.0</v>
      </c>
    </row>
    <row r="6" ht="22.5" customHeight="1">
      <c r="A6" s="118">
        <v>404.0</v>
      </c>
      <c r="B6" s="118" t="s">
        <v>347</v>
      </c>
      <c r="C6" s="118">
        <v>404.0</v>
      </c>
      <c r="D6" s="119"/>
      <c r="E6" s="120" t="b">
        <v>0</v>
      </c>
      <c r="F6" s="121" t="b">
        <v>0</v>
      </c>
      <c r="G6" s="120">
        <f>Countif(Scenses[Episode],#REF!)</f>
        <v>0</v>
      </c>
      <c r="H6" s="118">
        <v>404.0</v>
      </c>
    </row>
    <row r="7" ht="22.5" customHeight="1">
      <c r="A7" s="118">
        <v>404.0</v>
      </c>
      <c r="B7" s="118" t="s">
        <v>350</v>
      </c>
      <c r="C7" s="118">
        <v>404.0</v>
      </c>
      <c r="D7" s="119"/>
      <c r="E7" s="120" t="b">
        <v>0</v>
      </c>
      <c r="F7" s="121" t="b">
        <v>0</v>
      </c>
      <c r="G7" s="120">
        <f>Countif(Scenses[Episode],#REF!)</f>
        <v>0</v>
      </c>
      <c r="H7" s="118">
        <v>404.0</v>
      </c>
    </row>
    <row r="8" ht="22.5" customHeight="1">
      <c r="A8" s="118">
        <v>404.0</v>
      </c>
      <c r="B8" s="118" t="s">
        <v>352</v>
      </c>
      <c r="C8" s="118">
        <v>404.0</v>
      </c>
      <c r="D8" s="124" t="s">
        <v>354</v>
      </c>
      <c r="E8" s="120" t="b">
        <v>0</v>
      </c>
      <c r="F8" s="121" t="b">
        <v>0</v>
      </c>
      <c r="G8" s="120">
        <f>Countif(Scenses[Episode],#REF!)</f>
        <v>0</v>
      </c>
      <c r="H8" s="118">
        <v>404.0</v>
      </c>
    </row>
    <row r="9" ht="22.5" customHeight="1">
      <c r="A9" s="118">
        <v>404.0</v>
      </c>
      <c r="B9" s="118" t="s">
        <v>357</v>
      </c>
      <c r="C9" s="118">
        <v>404.0</v>
      </c>
      <c r="D9" s="119"/>
      <c r="E9" s="120" t="b">
        <v>0</v>
      </c>
      <c r="F9" s="121" t="b">
        <v>0</v>
      </c>
      <c r="G9" s="120">
        <f>Countif(Scenses[Episode],#REF!)</f>
        <v>0</v>
      </c>
      <c r="H9" s="118">
        <v>404.0</v>
      </c>
    </row>
    <row r="10" ht="22.5" customHeight="1">
      <c r="A10" s="118">
        <v>404.0</v>
      </c>
      <c r="B10" s="118" t="s">
        <v>358</v>
      </c>
      <c r="C10" s="118">
        <v>404.0</v>
      </c>
      <c r="D10" s="119"/>
      <c r="E10" s="120" t="b">
        <v>0</v>
      </c>
      <c r="F10" s="121" t="b">
        <v>0</v>
      </c>
      <c r="G10" s="120">
        <f>Countif(Scenses[Episode],#REF!)</f>
        <v>0</v>
      </c>
      <c r="H10" s="118">
        <v>404.0</v>
      </c>
    </row>
    <row r="11" ht="22.5" customHeight="1">
      <c r="A11" s="118">
        <v>404.0</v>
      </c>
      <c r="B11" s="118" t="s">
        <v>362</v>
      </c>
      <c r="C11" s="118">
        <v>404.0</v>
      </c>
      <c r="D11" s="124" t="s">
        <v>363</v>
      </c>
      <c r="E11" s="120" t="b">
        <v>0</v>
      </c>
      <c r="F11" s="121" t="b">
        <v>0</v>
      </c>
      <c r="G11" s="120">
        <f>Countif(Scenses[Episode],#REF!)</f>
        <v>0</v>
      </c>
      <c r="H11" s="118">
        <v>404.0</v>
      </c>
    </row>
    <row r="12" ht="22.5" customHeight="1">
      <c r="A12" s="118">
        <v>404.0</v>
      </c>
      <c r="B12" s="118" t="s">
        <v>365</v>
      </c>
      <c r="C12" s="118">
        <v>404.0</v>
      </c>
      <c r="D12" s="119"/>
      <c r="E12" s="120" t="b">
        <v>0</v>
      </c>
      <c r="F12" s="121" t="b">
        <v>0</v>
      </c>
      <c r="G12" s="120">
        <f>Countif(Scenses[Episode],#REF!)</f>
        <v>0</v>
      </c>
      <c r="H12" s="118">
        <v>404.0</v>
      </c>
    </row>
    <row r="13" ht="22.5" customHeight="1">
      <c r="A13" s="118">
        <v>404.0</v>
      </c>
      <c r="B13" s="118" t="s">
        <v>368</v>
      </c>
      <c r="C13" s="118">
        <v>404.0</v>
      </c>
      <c r="D13" s="119"/>
      <c r="E13" s="120" t="b">
        <v>0</v>
      </c>
      <c r="F13" s="121" t="b">
        <v>0</v>
      </c>
      <c r="G13" s="120">
        <f>Countif(Scenses[Episode],#REF!)</f>
        <v>0</v>
      </c>
      <c r="H13" s="118">
        <v>404.0</v>
      </c>
    </row>
    <row r="14" ht="22.5" customHeight="1">
      <c r="A14" s="118">
        <v>404.0</v>
      </c>
      <c r="B14" s="118" t="s">
        <v>371</v>
      </c>
      <c r="C14" s="118">
        <v>404.0</v>
      </c>
      <c r="D14" s="124" t="s">
        <v>372</v>
      </c>
      <c r="E14" s="120" t="b">
        <v>0</v>
      </c>
      <c r="F14" s="121" t="b">
        <v>0</v>
      </c>
      <c r="G14" s="120">
        <f>Countif(Scenses[Episode],#REF!)</f>
        <v>0</v>
      </c>
      <c r="H14" s="118">
        <v>404.0</v>
      </c>
    </row>
    <row r="15" ht="22.5" customHeight="1">
      <c r="A15" s="118">
        <v>404.0</v>
      </c>
      <c r="B15" s="118" t="s">
        <v>375</v>
      </c>
      <c r="C15" s="118">
        <v>404.0</v>
      </c>
      <c r="D15" s="119"/>
      <c r="E15" s="120" t="b">
        <v>0</v>
      </c>
      <c r="F15" s="121" t="b">
        <v>0</v>
      </c>
      <c r="G15" s="120">
        <f>Countif(Scenses[Episode],#REF!)</f>
        <v>0</v>
      </c>
      <c r="H15" s="118">
        <v>404.0</v>
      </c>
    </row>
  </sheetData>
  <conditionalFormatting sqref="A1:H15">
    <cfRule type="containsText" dxfId="11" priority="1" operator="containsText" text="—">
      <formula>NOT(ISERROR(SEARCH(("—"),(A1))))</formula>
    </cfRule>
  </conditionalFormatting>
  <conditionalFormatting sqref="A1:H15">
    <cfRule type="containsText" dxfId="11" priority="2" operator="containsText" text=" (">
      <formula>NOT(ISERROR(SEARCH((" ("),(A1))))</formula>
    </cfRule>
  </conditionalFormatting>
  <conditionalFormatting sqref="A1:H15">
    <cfRule type="containsBlanks" dxfId="12" priority="3">
      <formula>LEN(TRIM(A1))=0</formula>
    </cfRule>
  </conditionalFormatting>
  <conditionalFormatting sqref="A1:H15">
    <cfRule type="containsText" dxfId="11" priority="4" operator="containsText" text="  and ">
      <formula>NOT(ISERROR(SEARCH(("  and "),(A1))))</formula>
    </cfRule>
  </conditionalFormatting>
  <conditionalFormatting sqref="A1:H15">
    <cfRule type="containsText" dxfId="11" priority="5" operator="containsText" text=", and">
      <formula>NOT(ISERROR(SEARCH((", and"),(A1))))</formula>
    </cfRule>
  </conditionalFormatting>
  <conditionalFormatting sqref="A1:H15">
    <cfRule type="containsText" dxfId="11" priority="6" operator="containsText" text=",and">
      <formula>NOT(ISERROR(SEARCH((",and"),(A1))))</formula>
    </cfRule>
  </conditionalFormatting>
  <conditionalFormatting sqref="A1:H15">
    <cfRule type="cellIs" dxfId="13" priority="7" operator="equal">
      <formula>404</formula>
    </cfRule>
  </conditionalFormatting>
  <dataValidations>
    <dataValidation type="list" allowBlank="1" sqref="D2:D15">
      <formula1>#REF!</formula1>
    </dataValidation>
  </dataValidations>
  <drawing r:id="rId1"/>
  <tableParts count="1">
    <tablePart r:id="rId3"/>
  </tableParts>
</worksheet>
</file>